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OneDrive\Desktop\MS Excel Project\Fully Automatic HR Payroll Management System\"/>
    </mc:Choice>
  </mc:AlternateContent>
  <xr:revisionPtr revIDLastSave="0" documentId="13_ncr:1_{D01B623D-527E-40D8-9CC8-A6C3291DDB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tendance_Sheet" sheetId="1" r:id="rId1"/>
    <sheet name="Salary_Sheet" sheetId="2" r:id="rId2"/>
    <sheet name="Salary_Sli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3" l="1"/>
  <c r="C5" i="3"/>
  <c r="F18" i="3"/>
  <c r="F17" i="3"/>
  <c r="F16" i="3"/>
  <c r="F15" i="3"/>
  <c r="D19" i="3"/>
  <c r="D18" i="3"/>
  <c r="D17" i="3"/>
  <c r="D16" i="3"/>
  <c r="D15" i="3"/>
  <c r="E12" i="3"/>
  <c r="D9" i="3"/>
  <c r="F10" i="3"/>
  <c r="F9" i="3"/>
  <c r="F8" i="3"/>
  <c r="D10" i="3"/>
  <c r="Q6" i="2"/>
  <c r="Q7" i="2"/>
  <c r="Q9" i="2"/>
  <c r="Q10" i="2"/>
  <c r="R10" i="2" s="1"/>
  <c r="Q11" i="2"/>
  <c r="R11" i="2" s="1"/>
  <c r="Q12" i="2"/>
  <c r="R12" i="2" s="1"/>
  <c r="Q13" i="2"/>
  <c r="R13" i="2" s="1"/>
  <c r="Q14" i="2"/>
  <c r="Q15" i="2"/>
  <c r="Q16" i="2"/>
  <c r="Q17" i="2"/>
  <c r="Q5" i="2"/>
  <c r="R5" i="2" s="1"/>
  <c r="R6" i="2"/>
  <c r="R7" i="2"/>
  <c r="R9" i="2"/>
  <c r="R14" i="2"/>
  <c r="R15" i="2"/>
  <c r="R16" i="2"/>
  <c r="R17" i="2"/>
  <c r="P6" i="2"/>
  <c r="P7" i="2"/>
  <c r="P8" i="2"/>
  <c r="P9" i="2"/>
  <c r="P10" i="2"/>
  <c r="P11" i="2"/>
  <c r="P12" i="2"/>
  <c r="P13" i="2"/>
  <c r="P14" i="2"/>
  <c r="P15" i="2"/>
  <c r="P16" i="2"/>
  <c r="P17" i="2"/>
  <c r="P5" i="2"/>
  <c r="O6" i="2"/>
  <c r="O7" i="2"/>
  <c r="O9" i="2"/>
  <c r="O10" i="2"/>
  <c r="O11" i="2"/>
  <c r="O12" i="2"/>
  <c r="O13" i="2"/>
  <c r="O5" i="2"/>
  <c r="N6" i="2"/>
  <c r="N7" i="2"/>
  <c r="N8" i="2"/>
  <c r="N9" i="2"/>
  <c r="N10" i="2"/>
  <c r="N11" i="2"/>
  <c r="N12" i="2"/>
  <c r="N13" i="2"/>
  <c r="N17" i="2"/>
  <c r="N5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I6" i="2"/>
  <c r="I7" i="2"/>
  <c r="I8" i="2"/>
  <c r="I9" i="2"/>
  <c r="I10" i="2"/>
  <c r="I11" i="2"/>
  <c r="I12" i="2"/>
  <c r="I13" i="2"/>
  <c r="I14" i="2"/>
  <c r="I15" i="2"/>
  <c r="I16" i="2"/>
  <c r="I17" i="2"/>
  <c r="I5" i="2"/>
  <c r="H6" i="2"/>
  <c r="H7" i="2"/>
  <c r="H9" i="2"/>
  <c r="H10" i="2"/>
  <c r="H11" i="2"/>
  <c r="H13" i="2"/>
  <c r="H5" i="2"/>
  <c r="G6" i="2"/>
  <c r="G7" i="2"/>
  <c r="G8" i="2"/>
  <c r="G9" i="2"/>
  <c r="G10" i="2"/>
  <c r="G11" i="2"/>
  <c r="G12" i="2"/>
  <c r="H12" i="2" s="1"/>
  <c r="G13" i="2"/>
  <c r="G14" i="2"/>
  <c r="H14" i="2" s="1"/>
  <c r="G15" i="2"/>
  <c r="H15" i="2" s="1"/>
  <c r="G16" i="2"/>
  <c r="H16" i="2" s="1"/>
  <c r="G17" i="2"/>
  <c r="H17" i="2" s="1"/>
  <c r="O17" i="2" s="1"/>
  <c r="G5" i="2"/>
  <c r="F6" i="2"/>
  <c r="F7" i="2"/>
  <c r="F9" i="2"/>
  <c r="F10" i="2"/>
  <c r="F11" i="2"/>
  <c r="F12" i="2"/>
  <c r="F13" i="2"/>
  <c r="F14" i="2"/>
  <c r="F15" i="2"/>
  <c r="F16" i="2"/>
  <c r="F17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5" i="2"/>
  <c r="B6" i="2"/>
  <c r="B7" i="2"/>
  <c r="B8" i="2"/>
  <c r="B9" i="2"/>
  <c r="B10" i="2"/>
  <c r="B11" i="2"/>
  <c r="B12" i="2"/>
  <c r="B13" i="2"/>
  <c r="B14" i="2"/>
  <c r="B15" i="2"/>
  <c r="B16" i="2"/>
  <c r="B17" i="2"/>
  <c r="B5" i="2"/>
  <c r="A6" i="2"/>
  <c r="A7" i="2"/>
  <c r="A8" i="2"/>
  <c r="A9" i="2"/>
  <c r="A10" i="2"/>
  <c r="A11" i="2"/>
  <c r="A12" i="2"/>
  <c r="A13" i="2"/>
  <c r="A14" i="2"/>
  <c r="A15" i="2"/>
  <c r="A16" i="2"/>
  <c r="A17" i="2"/>
  <c r="A5" i="2"/>
  <c r="A1" i="2"/>
  <c r="F20" i="3" l="1"/>
  <c r="N14" i="2"/>
  <c r="O14" i="2" s="1"/>
  <c r="N16" i="2"/>
  <c r="O16" i="2" s="1"/>
  <c r="N15" i="2"/>
  <c r="O15" i="2" s="1"/>
  <c r="D2" i="1"/>
  <c r="AJ9" i="1"/>
  <c r="AK9" i="1"/>
  <c r="AM9" i="1"/>
  <c r="AJ10" i="1"/>
  <c r="AK10" i="1"/>
  <c r="AM10" i="1"/>
  <c r="AJ11" i="1"/>
  <c r="F8" i="2" s="1"/>
  <c r="H8" i="2" s="1"/>
  <c r="O8" i="2" s="1"/>
  <c r="Q8" i="2" s="1"/>
  <c r="R8" i="2" s="1"/>
  <c r="AK11" i="1"/>
  <c r="AM11" i="1"/>
  <c r="AJ12" i="1"/>
  <c r="AK12" i="1"/>
  <c r="AM12" i="1"/>
  <c r="AJ13" i="1"/>
  <c r="AK13" i="1"/>
  <c r="AM13" i="1"/>
  <c r="AJ14" i="1"/>
  <c r="AK14" i="1"/>
  <c r="AM14" i="1"/>
  <c r="AJ15" i="1"/>
  <c r="AK15" i="1"/>
  <c r="AM15" i="1"/>
  <c r="AJ16" i="1"/>
  <c r="AK16" i="1"/>
  <c r="AM16" i="1"/>
  <c r="AJ17" i="1"/>
  <c r="AK17" i="1"/>
  <c r="AM17" i="1"/>
  <c r="AJ18" i="1"/>
  <c r="AK18" i="1"/>
  <c r="AM18" i="1"/>
  <c r="AJ19" i="1"/>
  <c r="AK19" i="1"/>
  <c r="AM19" i="1"/>
  <c r="AJ20" i="1"/>
  <c r="AK20" i="1"/>
  <c r="AM20" i="1"/>
  <c r="AM8" i="1"/>
  <c r="AK8" i="1"/>
  <c r="AJ8" i="1"/>
  <c r="B4" i="1"/>
  <c r="C4" i="1" s="1"/>
  <c r="E22" i="3" l="1"/>
  <c r="D5" i="1"/>
  <c r="D6" i="1" l="1"/>
  <c r="E5" i="1"/>
  <c r="F5" i="1" l="1"/>
  <c r="E6" i="1"/>
  <c r="G5" i="1" l="1"/>
  <c r="F6" i="1"/>
  <c r="H5" i="1" l="1"/>
  <c r="G6" i="1"/>
  <c r="I5" i="1" l="1"/>
  <c r="H6" i="1"/>
  <c r="J5" i="1" l="1"/>
  <c r="I6" i="1"/>
  <c r="K5" i="1" l="1"/>
  <c r="J6" i="1"/>
  <c r="L5" i="1" l="1"/>
  <c r="K6" i="1"/>
  <c r="M5" i="1" l="1"/>
  <c r="L6" i="1"/>
  <c r="N5" i="1" l="1"/>
  <c r="M6" i="1"/>
  <c r="O5" i="1" l="1"/>
  <c r="N6" i="1"/>
  <c r="P5" i="1" l="1"/>
  <c r="O6" i="1"/>
  <c r="Q5" i="1" l="1"/>
  <c r="P6" i="1"/>
  <c r="R5" i="1" l="1"/>
  <c r="Q6" i="1"/>
  <c r="S5" i="1" l="1"/>
  <c r="R6" i="1"/>
  <c r="T5" i="1" l="1"/>
  <c r="S6" i="1"/>
  <c r="U5" i="1" l="1"/>
  <c r="T6" i="1"/>
  <c r="V5" i="1" l="1"/>
  <c r="U6" i="1"/>
  <c r="W5" i="1" l="1"/>
  <c r="V6" i="1"/>
  <c r="X5" i="1" l="1"/>
  <c r="W6" i="1"/>
  <c r="Y5" i="1" l="1"/>
  <c r="X6" i="1"/>
  <c r="Z5" i="1" l="1"/>
  <c r="Y6" i="1"/>
  <c r="AA5" i="1" l="1"/>
  <c r="Z6" i="1"/>
  <c r="AB5" i="1" l="1"/>
  <c r="AA6" i="1"/>
  <c r="AC5" i="1" l="1"/>
  <c r="AB6" i="1"/>
  <c r="AD5" i="1" l="1"/>
  <c r="AC6" i="1"/>
  <c r="AE5" i="1" l="1"/>
  <c r="AD6" i="1"/>
  <c r="AF5" i="1" l="1"/>
  <c r="AE6" i="1"/>
  <c r="AG5" i="1" l="1"/>
  <c r="AF6" i="1"/>
  <c r="AH5" i="1" l="1"/>
  <c r="AG6" i="1"/>
  <c r="AI16" i="1" l="1"/>
  <c r="AI9" i="1"/>
  <c r="AI20" i="1"/>
  <c r="AI19" i="1"/>
  <c r="AI8" i="1"/>
  <c r="AI10" i="1"/>
  <c r="AI14" i="1"/>
  <c r="AI18" i="1"/>
  <c r="AI17" i="1"/>
  <c r="AI11" i="1"/>
  <c r="AI12" i="1"/>
  <c r="AI13" i="1"/>
  <c r="AI15" i="1"/>
  <c r="AH6" i="1"/>
  <c r="AL13" i="1" l="1"/>
  <c r="AL15" i="1"/>
  <c r="AL20" i="1"/>
  <c r="AL17" i="1"/>
  <c r="AL8" i="1"/>
  <c r="AL16" i="1"/>
  <c r="AL12" i="1"/>
  <c r="AL18" i="1"/>
  <c r="AL9" i="1"/>
  <c r="AL11" i="1"/>
  <c r="AL14" i="1"/>
  <c r="AL19" i="1"/>
  <c r="AL10" i="1"/>
</calcChain>
</file>

<file path=xl/sharedStrings.xml><?xml version="1.0" encoding="utf-8"?>
<sst xmlns="http://schemas.openxmlformats.org/spreadsheetml/2006/main" count="462" uniqueCount="95">
  <si>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</si>
  <si>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</si>
  <si>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</si>
  <si>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</si>
  <si>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</si>
  <si>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</si>
  <si>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</si>
  <si>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</si>
  <si>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</si>
  <si>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</si>
  <si>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</si>
  <si>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</si>
  <si>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</si>
  <si>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</si>
  <si>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</si>
  <si>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</si>
  <si>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</si>
  <si>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</si>
  <si>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</si>
  <si>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</si>
  <si>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</si>
  <si>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</si>
  <si>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</si>
  <si>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</si>
  <si>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</si>
  <si>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</si>
  <si>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Year</t>
  </si>
  <si>
    <t>EMP_ID</t>
  </si>
  <si>
    <t>EMP_NAME</t>
  </si>
  <si>
    <t>Total Days</t>
  </si>
  <si>
    <t>Present</t>
  </si>
  <si>
    <t>Holiday</t>
  </si>
  <si>
    <t>Week Off</t>
  </si>
  <si>
    <t>Absent</t>
  </si>
  <si>
    <t>A</t>
  </si>
  <si>
    <t>P</t>
  </si>
  <si>
    <r>
      <t xml:space="preserve">Made by
</t>
    </r>
    <r>
      <rPr>
        <sz val="14"/>
        <color theme="1"/>
        <rFont val="Times New Roman"/>
        <family val="1"/>
      </rPr>
      <t>Shashank Masih Toppo</t>
    </r>
  </si>
  <si>
    <t>EMP_Name</t>
  </si>
  <si>
    <t>Designation</t>
  </si>
  <si>
    <t>Basic Salary</t>
  </si>
  <si>
    <t>Attendance(Working Days)</t>
  </si>
  <si>
    <t>Salary (Based on Attendance)</t>
  </si>
  <si>
    <t>DA (12%)</t>
  </si>
  <si>
    <t>City</t>
  </si>
  <si>
    <t>HRA</t>
  </si>
  <si>
    <t>TA</t>
  </si>
  <si>
    <t>Overtime Pay</t>
  </si>
  <si>
    <t>Gross Salary</t>
  </si>
  <si>
    <t>PF (12%)</t>
  </si>
  <si>
    <t>Net Salary</t>
  </si>
  <si>
    <t>Per Day
Salary</t>
  </si>
  <si>
    <t>Net
Salary</t>
  </si>
  <si>
    <r>
      <rPr>
        <sz val="10"/>
        <color theme="1"/>
        <rFont val="Times New Roman"/>
        <family val="1"/>
      </rPr>
      <t>Made by</t>
    </r>
    <r>
      <rPr>
        <sz val="11"/>
        <color theme="1"/>
        <rFont val="Times New Roman"/>
        <family val="1"/>
      </rPr>
      <t xml:space="preserve">
</t>
    </r>
    <r>
      <rPr>
        <sz val="14"/>
        <color theme="1"/>
        <rFont val="Times New Roman"/>
        <family val="1"/>
      </rPr>
      <t>Shashank Masih Toppo</t>
    </r>
  </si>
  <si>
    <t>Manager</t>
  </si>
  <si>
    <t>Aarav Sharma</t>
  </si>
  <si>
    <t>Priya Singh</t>
  </si>
  <si>
    <t>Rahul Verma</t>
  </si>
  <si>
    <t>Neha Gupta</t>
  </si>
  <si>
    <t>Vikram Patel</t>
  </si>
  <si>
    <t>Ananya Roy</t>
  </si>
  <si>
    <t>Karan Mehta</t>
  </si>
  <si>
    <t>Sneha Kapoor</t>
  </si>
  <si>
    <t>Rohan Das</t>
  </si>
  <si>
    <t>Pooja Nair</t>
  </si>
  <si>
    <t>Arjun Kumar</t>
  </si>
  <si>
    <t>Meera Joshi</t>
  </si>
  <si>
    <t>Aditya Mishra</t>
  </si>
  <si>
    <t>HR Executive</t>
  </si>
  <si>
    <t>Data Analyst</t>
  </si>
  <si>
    <t>Marketing Executive</t>
  </si>
  <si>
    <t>Sales Executive</t>
  </si>
  <si>
    <t>Accountant</t>
  </si>
  <si>
    <t>Business Analyst</t>
  </si>
  <si>
    <t>Software Engineer</t>
  </si>
  <si>
    <t>Metro</t>
  </si>
  <si>
    <t>Non-Merto</t>
  </si>
  <si>
    <t>OT in
Hrs.</t>
  </si>
  <si>
    <t>Finance Executive Intern.</t>
  </si>
  <si>
    <t>Marketing Executive Intern.</t>
  </si>
  <si>
    <t>Sales Executive Intern.</t>
  </si>
  <si>
    <t>XYZ Services Private Limited</t>
  </si>
  <si>
    <t>Employee Details</t>
  </si>
  <si>
    <t>Salary Details</t>
  </si>
  <si>
    <t xml:space="preserve">Salary Slip Print Date </t>
  </si>
  <si>
    <t>Earnings</t>
  </si>
  <si>
    <t>Deductions</t>
  </si>
  <si>
    <t>Loan</t>
  </si>
  <si>
    <t>Tax</t>
  </si>
  <si>
    <t>Gross Deduction</t>
  </si>
  <si>
    <t>Employee Signature  _________________</t>
  </si>
  <si>
    <t>Manger Signature  _________________</t>
  </si>
  <si>
    <t>This is a sample salary slip generated as a part of my personal project.</t>
  </si>
  <si>
    <t>Prepared By Shashank Masih Toppo</t>
  </si>
  <si>
    <t>ESI (0.75%)</t>
  </si>
  <si>
    <t>Civil Lines Business Centre, Mahatma Gandhi Marg, Civil Lines, Prayagraj, Uttar Pradesh 211001,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</si>
</sst>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#\ &quot;Hrs.&quot;"/>
    <numFmt numFmtId="166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0"/>
      <name val="Times New Roman"/>
      <family val="1"/>
    </font>
    <font>
      <b/>
      <sz val="28"/>
      <color theme="0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Times New Roman"/>
      <family val="1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0" xfId="0" applyFill="1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5" fillId="0" borderId="0" xfId="0" applyNumberFormat="1" applyFont="1"/>
    <xf numFmtId="0" fontId="5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65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12" fillId="3" borderId="18" xfId="0" applyFont="1" applyFill="1" applyBorder="1" applyAlignment="1">
      <alignment vertical="center"/>
    </xf>
    <xf numFmtId="0" fontId="12" fillId="3" borderId="19" xfId="0" applyFont="1" applyFill="1" applyBorder="1" applyAlignment="1">
      <alignment vertical="center"/>
    </xf>
    <xf numFmtId="166" fontId="0" fillId="0" borderId="0" xfId="0" applyNumberFormat="1" applyBorder="1"/>
    <xf numFmtId="166" fontId="0" fillId="0" borderId="16" xfId="0" applyNumberFormat="1" applyBorder="1"/>
    <xf numFmtId="166" fontId="0" fillId="0" borderId="14" xfId="0" applyNumberFormat="1" applyBorder="1"/>
    <xf numFmtId="166" fontId="0" fillId="0" borderId="14" xfId="0" applyNumberFormat="1" applyBorder="1" applyAlignment="1">
      <alignment horizontal="right"/>
    </xf>
    <xf numFmtId="166" fontId="0" fillId="0" borderId="17" xfId="0" applyNumberFormat="1" applyBorder="1"/>
    <xf numFmtId="166" fontId="10" fillId="0" borderId="1" xfId="0" applyNumberFormat="1" applyFont="1" applyBorder="1"/>
    <xf numFmtId="166" fontId="0" fillId="0" borderId="1" xfId="0" applyNumberFormat="1" applyBorder="1"/>
    <xf numFmtId="166" fontId="0" fillId="0" borderId="1" xfId="0" applyNumberFormat="1" applyBorder="1" applyAlignment="1">
      <alignment horizontal="center"/>
    </xf>
    <xf numFmtId="164" fontId="5" fillId="0" borderId="0" xfId="0" applyNumberFormat="1" applyFont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textRotation="90"/>
    </xf>
    <xf numFmtId="164" fontId="5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166" fontId="12" fillId="3" borderId="19" xfId="0" applyNumberFormat="1" applyFont="1" applyFill="1" applyBorder="1" applyAlignment="1">
      <alignment horizontal="center" vertical="center"/>
    </xf>
    <xf numFmtId="166" fontId="12" fillId="3" borderId="2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12"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45"/>
  <sheetViews>
    <sheetView zoomScale="119" workbookViewId="0">
      <selection activeCell="A22" sqref="A22"/>
    </sheetView>
  </sheetViews>
  <sheetFormatPr defaultRowHeight="14.4" x14ac:dyDescent="0.3"/>
  <cols>
    <col min="2" max="2" width="10.33203125" bestFit="1" customWidth="1"/>
    <col min="3" max="3" width="12.77734375" bestFit="1" customWidth="1"/>
    <col min="4" max="4" width="3" bestFit="1" customWidth="1"/>
    <col min="5" max="34" width="3.109375" bestFit="1" customWidth="1"/>
    <col min="35" max="35" width="10.33203125" bestFit="1" customWidth="1"/>
    <col min="36" max="39" width="3.77734375" customWidth="1"/>
  </cols>
  <sheetData>
    <row r="2" spans="2:39" x14ac:dyDescent="0.3">
      <c r="B2" s="3" t="s">
        <v>25</v>
      </c>
      <c r="C2" s="3" t="s">
        <v>26</v>
      </c>
      <c r="D2" s="37" t="str">
        <f>"Fully Automatic Attendance Sheet - "&amp;B3&amp;" "&amp;C3</f>
        <v>Fully Automatic Attendance Sheet - June 2026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8" t="s">
        <v>36</v>
      </c>
      <c r="AJ2" s="39"/>
      <c r="AK2" s="39"/>
      <c r="AL2" s="39"/>
      <c r="AM2" s="39"/>
    </row>
    <row r="3" spans="2:39" x14ac:dyDescent="0.3">
      <c r="B3" s="3" t="s">
        <v>18</v>
      </c>
      <c r="C3" s="3">
        <v>2026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9"/>
      <c r="AJ3" s="39"/>
      <c r="AK3" s="39"/>
      <c r="AL3" s="39"/>
      <c r="AM3" s="39"/>
    </row>
    <row r="4" spans="2:39" x14ac:dyDescent="0.3">
      <c r="B4" s="4">
        <f>DATEVALUE("1"&amp;B3&amp;C3)</f>
        <v>46174</v>
      </c>
      <c r="C4" s="4">
        <f>EOMONTH(B4,0)</f>
        <v>46203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9"/>
      <c r="AJ4" s="39"/>
      <c r="AK4" s="39"/>
      <c r="AL4" s="39"/>
      <c r="AM4" s="39"/>
    </row>
    <row r="5" spans="2:39" x14ac:dyDescent="0.3">
      <c r="B5" s="42" t="s">
        <v>27</v>
      </c>
      <c r="C5" s="42" t="s">
        <v>28</v>
      </c>
      <c r="D5" s="5">
        <f>B4</f>
        <v>46174</v>
      </c>
      <c r="E5" s="5">
        <f>IF(D5&lt;$C$4,D5+1," ")</f>
        <v>46175</v>
      </c>
      <c r="F5" s="5">
        <f t="shared" ref="F5:AH5" si="0">IF(E5&lt;$C$4,E5+1," ")</f>
        <v>46176</v>
      </c>
      <c r="G5" s="5">
        <f t="shared" si="0"/>
        <v>46177</v>
      </c>
      <c r="H5" s="5">
        <f t="shared" si="0"/>
        <v>46178</v>
      </c>
      <c r="I5" s="5">
        <f t="shared" si="0"/>
        <v>46179</v>
      </c>
      <c r="J5" s="5">
        <f t="shared" si="0"/>
        <v>46180</v>
      </c>
      <c r="K5" s="5">
        <f t="shared" si="0"/>
        <v>46181</v>
      </c>
      <c r="L5" s="5">
        <f t="shared" si="0"/>
        <v>46182</v>
      </c>
      <c r="M5" s="5">
        <f t="shared" si="0"/>
        <v>46183</v>
      </c>
      <c r="N5" s="5">
        <f t="shared" si="0"/>
        <v>46184</v>
      </c>
      <c r="O5" s="5">
        <f t="shared" si="0"/>
        <v>46185</v>
      </c>
      <c r="P5" s="5">
        <f t="shared" si="0"/>
        <v>46186</v>
      </c>
      <c r="Q5" s="5">
        <f t="shared" si="0"/>
        <v>46187</v>
      </c>
      <c r="R5" s="5">
        <f t="shared" si="0"/>
        <v>46188</v>
      </c>
      <c r="S5" s="5">
        <f t="shared" si="0"/>
        <v>46189</v>
      </c>
      <c r="T5" s="5">
        <f t="shared" si="0"/>
        <v>46190</v>
      </c>
      <c r="U5" s="5">
        <f t="shared" si="0"/>
        <v>46191</v>
      </c>
      <c r="V5" s="5">
        <f t="shared" si="0"/>
        <v>46192</v>
      </c>
      <c r="W5" s="5">
        <f t="shared" si="0"/>
        <v>46193</v>
      </c>
      <c r="X5" s="5">
        <f t="shared" si="0"/>
        <v>46194</v>
      </c>
      <c r="Y5" s="5">
        <f t="shared" si="0"/>
        <v>46195</v>
      </c>
      <c r="Z5" s="5">
        <f t="shared" si="0"/>
        <v>46196</v>
      </c>
      <c r="AA5" s="5">
        <f t="shared" si="0"/>
        <v>46197</v>
      </c>
      <c r="AB5" s="5">
        <f t="shared" si="0"/>
        <v>46198</v>
      </c>
      <c r="AC5" s="5">
        <f t="shared" si="0"/>
        <v>46199</v>
      </c>
      <c r="AD5" s="5">
        <f t="shared" si="0"/>
        <v>46200</v>
      </c>
      <c r="AE5" s="5">
        <f t="shared" si="0"/>
        <v>46201</v>
      </c>
      <c r="AF5" s="5">
        <f t="shared" si="0"/>
        <v>46202</v>
      </c>
      <c r="AG5" s="5">
        <f t="shared" si="0"/>
        <v>46203</v>
      </c>
      <c r="AH5" s="5" t="str">
        <f t="shared" si="0"/>
        <v xml:space="preserve"> </v>
      </c>
      <c r="AI5" s="41" t="s">
        <v>29</v>
      </c>
      <c r="AJ5" s="36" t="s">
        <v>30</v>
      </c>
      <c r="AK5" s="36" t="s">
        <v>31</v>
      </c>
      <c r="AL5" s="36" t="s">
        <v>32</v>
      </c>
      <c r="AM5" s="36" t="s">
        <v>33</v>
      </c>
    </row>
    <row r="6" spans="2:39" x14ac:dyDescent="0.3">
      <c r="B6" s="42"/>
      <c r="C6" s="42"/>
      <c r="D6" s="40" t="str">
        <f>TEXT(D5,"DDD")</f>
        <v>Mon</v>
      </c>
      <c r="E6" s="40" t="str">
        <f t="shared" ref="E6:AH6" si="1">TEXT(E5,"DDD")</f>
        <v>Tue</v>
      </c>
      <c r="F6" s="40" t="str">
        <f t="shared" si="1"/>
        <v>Wed</v>
      </c>
      <c r="G6" s="40" t="str">
        <f t="shared" si="1"/>
        <v>Thu</v>
      </c>
      <c r="H6" s="40" t="str">
        <f t="shared" si="1"/>
        <v>Fri</v>
      </c>
      <c r="I6" s="40" t="str">
        <f t="shared" si="1"/>
        <v>Sat</v>
      </c>
      <c r="J6" s="40" t="str">
        <f t="shared" si="1"/>
        <v>Sun</v>
      </c>
      <c r="K6" s="40" t="str">
        <f t="shared" si="1"/>
        <v>Mon</v>
      </c>
      <c r="L6" s="40" t="str">
        <f t="shared" si="1"/>
        <v>Tue</v>
      </c>
      <c r="M6" s="40" t="str">
        <f t="shared" si="1"/>
        <v>Wed</v>
      </c>
      <c r="N6" s="40" t="str">
        <f t="shared" si="1"/>
        <v>Thu</v>
      </c>
      <c r="O6" s="40" t="str">
        <f t="shared" si="1"/>
        <v>Fri</v>
      </c>
      <c r="P6" s="40" t="str">
        <f t="shared" si="1"/>
        <v>Sat</v>
      </c>
      <c r="Q6" s="40" t="str">
        <f t="shared" si="1"/>
        <v>Sun</v>
      </c>
      <c r="R6" s="40" t="str">
        <f t="shared" si="1"/>
        <v>Mon</v>
      </c>
      <c r="S6" s="40" t="str">
        <f t="shared" si="1"/>
        <v>Tue</v>
      </c>
      <c r="T6" s="40" t="str">
        <f t="shared" si="1"/>
        <v>Wed</v>
      </c>
      <c r="U6" s="40" t="str">
        <f t="shared" si="1"/>
        <v>Thu</v>
      </c>
      <c r="V6" s="40" t="str">
        <f t="shared" si="1"/>
        <v>Fri</v>
      </c>
      <c r="W6" s="40" t="str">
        <f t="shared" si="1"/>
        <v>Sat</v>
      </c>
      <c r="X6" s="40" t="str">
        <f t="shared" si="1"/>
        <v>Sun</v>
      </c>
      <c r="Y6" s="40" t="str">
        <f t="shared" si="1"/>
        <v>Mon</v>
      </c>
      <c r="Z6" s="40" t="str">
        <f t="shared" si="1"/>
        <v>Tue</v>
      </c>
      <c r="AA6" s="40" t="str">
        <f t="shared" si="1"/>
        <v>Wed</v>
      </c>
      <c r="AB6" s="40" t="str">
        <f t="shared" si="1"/>
        <v>Thu</v>
      </c>
      <c r="AC6" s="40" t="str">
        <f t="shared" si="1"/>
        <v>Fri</v>
      </c>
      <c r="AD6" s="40" t="str">
        <f t="shared" si="1"/>
        <v>Sat</v>
      </c>
      <c r="AE6" s="40" t="str">
        <f t="shared" si="1"/>
        <v>Sun</v>
      </c>
      <c r="AF6" s="40" t="str">
        <f t="shared" si="1"/>
        <v>Mon</v>
      </c>
      <c r="AG6" s="40" t="str">
        <f t="shared" si="1"/>
        <v>Tue</v>
      </c>
      <c r="AH6" s="40" t="str">
        <f t="shared" si="1"/>
        <v xml:space="preserve"> </v>
      </c>
      <c r="AI6" s="41"/>
      <c r="AJ6" s="36"/>
      <c r="AK6" s="36"/>
      <c r="AL6" s="36"/>
      <c r="AM6" s="36"/>
    </row>
    <row r="7" spans="2:39" x14ac:dyDescent="0.3">
      <c r="B7" s="42"/>
      <c r="C7" s="42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1"/>
      <c r="AJ7" s="36"/>
      <c r="AK7" s="36"/>
      <c r="AL7" s="36"/>
      <c r="AM7" s="36"/>
    </row>
    <row r="8" spans="2:39" x14ac:dyDescent="0.3">
      <c r="B8" s="6" t="s">
        <v>0</v>
      </c>
      <c r="C8" s="6" t="s">
        <v>54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K8" t="s">
        <v>34</v>
      </c>
      <c r="L8" t="s">
        <v>35</v>
      </c>
      <c r="M8" t="s">
        <v>35</v>
      </c>
      <c r="N8" t="s">
        <v>35</v>
      </c>
      <c r="O8" t="s">
        <v>35</v>
      </c>
      <c r="P8" t="s">
        <v>34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F8" t="s">
        <v>35</v>
      </c>
      <c r="AG8" t="s">
        <v>35</v>
      </c>
      <c r="AI8">
        <f>COUNT(D$5:AH$5)</f>
        <v>30</v>
      </c>
      <c r="AJ8">
        <f>COUNTIF($D8:$AH8,"P")</f>
        <v>24</v>
      </c>
      <c r="AK8">
        <f>COUNTIF($D8:$AH8,"H")</f>
        <v>0</v>
      </c>
      <c r="AL8">
        <f>COUNTIF(D$6:AH$7,"Sun")</f>
        <v>4</v>
      </c>
      <c r="AM8">
        <f>COUNTIF($D8:$AH8,"A")</f>
        <v>2</v>
      </c>
    </row>
    <row r="9" spans="2:39" x14ac:dyDescent="0.3">
      <c r="B9" s="6" t="s">
        <v>1</v>
      </c>
      <c r="C9" s="6" t="s">
        <v>55</v>
      </c>
      <c r="D9" t="s">
        <v>35</v>
      </c>
      <c r="E9" t="s">
        <v>35</v>
      </c>
      <c r="F9" t="s">
        <v>34</v>
      </c>
      <c r="G9" t="s">
        <v>35</v>
      </c>
      <c r="H9" t="s">
        <v>34</v>
      </c>
      <c r="I9" t="s">
        <v>35</v>
      </c>
      <c r="K9" t="s">
        <v>35</v>
      </c>
      <c r="L9" t="s">
        <v>35</v>
      </c>
      <c r="M9" t="s">
        <v>34</v>
      </c>
      <c r="N9" t="s">
        <v>35</v>
      </c>
      <c r="O9" t="s">
        <v>34</v>
      </c>
      <c r="P9" t="s">
        <v>35</v>
      </c>
      <c r="R9" t="s">
        <v>34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Y9" t="s">
        <v>34</v>
      </c>
      <c r="Z9" t="s">
        <v>35</v>
      </c>
      <c r="AA9" t="s">
        <v>34</v>
      </c>
      <c r="AB9" t="s">
        <v>35</v>
      </c>
      <c r="AC9" t="s">
        <v>34</v>
      </c>
      <c r="AD9" t="s">
        <v>35</v>
      </c>
      <c r="AF9" t="s">
        <v>35</v>
      </c>
      <c r="AG9" t="s">
        <v>35</v>
      </c>
      <c r="AI9">
        <f t="shared" ref="AI9:AI20" si="2">COUNT(D$5:AH$5)</f>
        <v>30</v>
      </c>
      <c r="AJ9">
        <f t="shared" ref="AJ9:AJ20" si="3">COUNTIF($D9:$AH9,"P")</f>
        <v>18</v>
      </c>
      <c r="AK9">
        <f t="shared" ref="AK9:AK20" si="4">COUNTIF($D9:$AH9,"H")</f>
        <v>0</v>
      </c>
      <c r="AL9">
        <f t="shared" ref="AL9:AL20" si="5">COUNTIF(D$6:AH$7,"Sun")</f>
        <v>4</v>
      </c>
      <c r="AM9">
        <f t="shared" ref="AM9:AM20" si="6">COUNTIF($D9:$AH9,"A")</f>
        <v>8</v>
      </c>
    </row>
    <row r="10" spans="2:39" x14ac:dyDescent="0.3">
      <c r="B10" s="6" t="s">
        <v>2</v>
      </c>
      <c r="C10" s="6" t="s">
        <v>56</v>
      </c>
      <c r="D10" t="s">
        <v>34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K10" t="s">
        <v>34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R10" t="s">
        <v>35</v>
      </c>
      <c r="S10" t="s">
        <v>35</v>
      </c>
      <c r="T10" t="s">
        <v>35</v>
      </c>
      <c r="U10" t="s">
        <v>34</v>
      </c>
      <c r="V10" t="s">
        <v>34</v>
      </c>
      <c r="W10" t="s">
        <v>34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F10" t="s">
        <v>35</v>
      </c>
      <c r="AG10" t="s">
        <v>34</v>
      </c>
      <c r="AI10">
        <f t="shared" si="2"/>
        <v>30</v>
      </c>
      <c r="AJ10">
        <f t="shared" si="3"/>
        <v>20</v>
      </c>
      <c r="AK10">
        <f t="shared" si="4"/>
        <v>0</v>
      </c>
      <c r="AL10">
        <f t="shared" si="5"/>
        <v>4</v>
      </c>
      <c r="AM10">
        <f t="shared" si="6"/>
        <v>6</v>
      </c>
    </row>
    <row r="11" spans="2:39" x14ac:dyDescent="0.3">
      <c r="B11" s="6" t="s">
        <v>3</v>
      </c>
      <c r="C11" s="6" t="s">
        <v>57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K11" t="s">
        <v>35</v>
      </c>
      <c r="L11" t="s">
        <v>34</v>
      </c>
      <c r="M11" t="s">
        <v>35</v>
      </c>
      <c r="N11" t="s">
        <v>35</v>
      </c>
      <c r="O11" t="s">
        <v>35</v>
      </c>
      <c r="P11" t="s">
        <v>34</v>
      </c>
      <c r="R11" t="s">
        <v>35</v>
      </c>
      <c r="S11" t="s">
        <v>34</v>
      </c>
      <c r="T11" t="s">
        <v>35</v>
      </c>
      <c r="U11" t="s">
        <v>35</v>
      </c>
      <c r="V11" t="s">
        <v>35</v>
      </c>
      <c r="W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F11" t="s">
        <v>35</v>
      </c>
      <c r="AG11" t="s">
        <v>35</v>
      </c>
      <c r="AI11">
        <f t="shared" si="2"/>
        <v>30</v>
      </c>
      <c r="AJ11">
        <f t="shared" si="3"/>
        <v>23</v>
      </c>
      <c r="AK11">
        <f t="shared" si="4"/>
        <v>0</v>
      </c>
      <c r="AL11">
        <f t="shared" si="5"/>
        <v>4</v>
      </c>
      <c r="AM11">
        <f t="shared" si="6"/>
        <v>3</v>
      </c>
    </row>
    <row r="12" spans="2:39" x14ac:dyDescent="0.3">
      <c r="B12" s="6" t="s">
        <v>4</v>
      </c>
      <c r="C12" s="6" t="s">
        <v>58</v>
      </c>
      <c r="D12" t="s">
        <v>35</v>
      </c>
      <c r="E12" t="s">
        <v>35</v>
      </c>
      <c r="F12" t="s">
        <v>34</v>
      </c>
      <c r="G12" s="2" t="s">
        <v>35</v>
      </c>
      <c r="H12" t="s">
        <v>35</v>
      </c>
      <c r="I12" t="s">
        <v>35</v>
      </c>
      <c r="K12" t="s">
        <v>35</v>
      </c>
      <c r="L12" t="s">
        <v>35</v>
      </c>
      <c r="M12" t="s">
        <v>35</v>
      </c>
      <c r="N12" t="s">
        <v>34</v>
      </c>
      <c r="O12" t="s">
        <v>34</v>
      </c>
      <c r="P12" t="s">
        <v>35</v>
      </c>
      <c r="R12" t="s">
        <v>35</v>
      </c>
      <c r="S12" t="s">
        <v>35</v>
      </c>
      <c r="T12" t="s">
        <v>34</v>
      </c>
      <c r="U12" t="s">
        <v>35</v>
      </c>
      <c r="V12" t="s">
        <v>35</v>
      </c>
      <c r="W12" t="s">
        <v>35</v>
      </c>
      <c r="Y12" t="s">
        <v>34</v>
      </c>
      <c r="Z12" s="2" t="s">
        <v>35</v>
      </c>
      <c r="AA12" t="s">
        <v>35</v>
      </c>
      <c r="AB12" t="s">
        <v>35</v>
      </c>
      <c r="AC12" t="s">
        <v>35</v>
      </c>
      <c r="AD12" t="s">
        <v>34</v>
      </c>
      <c r="AF12" t="s">
        <v>34</v>
      </c>
      <c r="AG12" t="s">
        <v>35</v>
      </c>
      <c r="AI12">
        <f t="shared" si="2"/>
        <v>30</v>
      </c>
      <c r="AJ12">
        <f t="shared" si="3"/>
        <v>19</v>
      </c>
      <c r="AK12">
        <f t="shared" si="4"/>
        <v>0</v>
      </c>
      <c r="AL12">
        <f t="shared" si="5"/>
        <v>4</v>
      </c>
      <c r="AM12">
        <f t="shared" si="6"/>
        <v>7</v>
      </c>
    </row>
    <row r="13" spans="2:39" x14ac:dyDescent="0.3">
      <c r="B13" s="6" t="s">
        <v>5</v>
      </c>
      <c r="C13" s="6" t="s">
        <v>59</v>
      </c>
      <c r="D13" t="s">
        <v>35</v>
      </c>
      <c r="E13" t="s">
        <v>34</v>
      </c>
      <c r="F13" t="s">
        <v>35</v>
      </c>
      <c r="G13" t="s">
        <v>35</v>
      </c>
      <c r="H13" t="s">
        <v>35</v>
      </c>
      <c r="I13" t="s">
        <v>34</v>
      </c>
      <c r="K13" t="s">
        <v>35</v>
      </c>
      <c r="L13" t="s">
        <v>34</v>
      </c>
      <c r="M13" t="s">
        <v>35</v>
      </c>
      <c r="N13" t="s">
        <v>35</v>
      </c>
      <c r="O13" t="s">
        <v>35</v>
      </c>
      <c r="P13" t="s">
        <v>35</v>
      </c>
      <c r="R13" t="s">
        <v>34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Y13" t="s">
        <v>35</v>
      </c>
      <c r="Z13" t="s">
        <v>35</v>
      </c>
      <c r="AA13" t="s">
        <v>35</v>
      </c>
      <c r="AB13" t="s">
        <v>34</v>
      </c>
      <c r="AC13" t="s">
        <v>35</v>
      </c>
      <c r="AD13" t="s">
        <v>35</v>
      </c>
      <c r="AF13" t="s">
        <v>35</v>
      </c>
      <c r="AG13" t="s">
        <v>35</v>
      </c>
      <c r="AI13">
        <f t="shared" si="2"/>
        <v>30</v>
      </c>
      <c r="AJ13">
        <f t="shared" si="3"/>
        <v>21</v>
      </c>
      <c r="AK13">
        <f t="shared" si="4"/>
        <v>0</v>
      </c>
      <c r="AL13">
        <f t="shared" si="5"/>
        <v>4</v>
      </c>
      <c r="AM13">
        <f t="shared" si="6"/>
        <v>5</v>
      </c>
    </row>
    <row r="14" spans="2:39" x14ac:dyDescent="0.3">
      <c r="B14" s="6" t="s">
        <v>6</v>
      </c>
      <c r="C14" s="6" t="s">
        <v>60</v>
      </c>
      <c r="D14" t="s">
        <v>34</v>
      </c>
      <c r="E14" t="s">
        <v>35</v>
      </c>
      <c r="F14" t="s">
        <v>35</v>
      </c>
      <c r="G14" t="s">
        <v>34</v>
      </c>
      <c r="H14" t="s">
        <v>35</v>
      </c>
      <c r="I14" t="s">
        <v>35</v>
      </c>
      <c r="K14" t="s">
        <v>35</v>
      </c>
      <c r="L14" t="s">
        <v>35</v>
      </c>
      <c r="M14" t="s">
        <v>35</v>
      </c>
      <c r="N14" t="s">
        <v>34</v>
      </c>
      <c r="O14" t="s">
        <v>35</v>
      </c>
      <c r="P14" t="s">
        <v>35</v>
      </c>
      <c r="R14" t="s">
        <v>35</v>
      </c>
      <c r="S14" t="s">
        <v>35</v>
      </c>
      <c r="T14" t="s">
        <v>35</v>
      </c>
      <c r="U14" t="s">
        <v>34</v>
      </c>
      <c r="V14" t="s">
        <v>34</v>
      </c>
      <c r="W14" t="s">
        <v>34</v>
      </c>
      <c r="Y14" t="s">
        <v>35</v>
      </c>
      <c r="Z14" t="s">
        <v>34</v>
      </c>
      <c r="AA14" t="s">
        <v>35</v>
      </c>
      <c r="AB14" t="s">
        <v>35</v>
      </c>
      <c r="AC14" t="s">
        <v>35</v>
      </c>
      <c r="AD14" t="s">
        <v>34</v>
      </c>
      <c r="AF14" t="s">
        <v>35</v>
      </c>
      <c r="AG14" t="s">
        <v>34</v>
      </c>
      <c r="AI14">
        <f t="shared" si="2"/>
        <v>30</v>
      </c>
      <c r="AJ14">
        <f t="shared" si="3"/>
        <v>17</v>
      </c>
      <c r="AK14">
        <f t="shared" si="4"/>
        <v>0</v>
      </c>
      <c r="AL14">
        <f t="shared" si="5"/>
        <v>4</v>
      </c>
      <c r="AM14">
        <f t="shared" si="6"/>
        <v>9</v>
      </c>
    </row>
    <row r="15" spans="2:39" x14ac:dyDescent="0.3">
      <c r="B15" s="6" t="s">
        <v>7</v>
      </c>
      <c r="C15" s="6" t="s">
        <v>61</v>
      </c>
      <c r="D15" t="s">
        <v>35</v>
      </c>
      <c r="E15" t="s">
        <v>35</v>
      </c>
      <c r="F15" t="s">
        <v>35</v>
      </c>
      <c r="G15" t="s">
        <v>35</v>
      </c>
      <c r="H15" t="s">
        <v>34</v>
      </c>
      <c r="I15" t="s">
        <v>35</v>
      </c>
      <c r="K15" t="s">
        <v>34</v>
      </c>
      <c r="L15" t="s">
        <v>35</v>
      </c>
      <c r="M15" t="s">
        <v>34</v>
      </c>
      <c r="N15" t="s">
        <v>35</v>
      </c>
      <c r="O15" t="s">
        <v>35</v>
      </c>
      <c r="P15" t="s">
        <v>34</v>
      </c>
      <c r="R15" t="s">
        <v>35</v>
      </c>
      <c r="S15" t="s">
        <v>34</v>
      </c>
      <c r="T15" t="s">
        <v>35</v>
      </c>
      <c r="U15" t="s">
        <v>35</v>
      </c>
      <c r="V15" t="s">
        <v>35</v>
      </c>
      <c r="W15" t="s">
        <v>35</v>
      </c>
      <c r="Y15" t="s">
        <v>35</v>
      </c>
      <c r="Z15" t="s">
        <v>35</v>
      </c>
      <c r="AA15" t="s">
        <v>34</v>
      </c>
      <c r="AB15" t="s">
        <v>35</v>
      </c>
      <c r="AC15" t="s">
        <v>34</v>
      </c>
      <c r="AD15" t="s">
        <v>35</v>
      </c>
      <c r="AF15" t="s">
        <v>35</v>
      </c>
      <c r="AG15" t="s">
        <v>35</v>
      </c>
      <c r="AI15">
        <f t="shared" si="2"/>
        <v>30</v>
      </c>
      <c r="AJ15">
        <f t="shared" si="3"/>
        <v>19</v>
      </c>
      <c r="AK15">
        <f t="shared" si="4"/>
        <v>0</v>
      </c>
      <c r="AL15">
        <f t="shared" si="5"/>
        <v>4</v>
      </c>
      <c r="AM15">
        <f t="shared" si="6"/>
        <v>7</v>
      </c>
    </row>
    <row r="16" spans="2:39" x14ac:dyDescent="0.3">
      <c r="B16" s="6" t="s">
        <v>8</v>
      </c>
      <c r="C16" s="6" t="s">
        <v>62</v>
      </c>
      <c r="D16" t="s">
        <v>35</v>
      </c>
      <c r="E16" t="s">
        <v>34</v>
      </c>
      <c r="F16" t="s">
        <v>35</v>
      </c>
      <c r="G16" t="s">
        <v>35</v>
      </c>
      <c r="H16" t="s">
        <v>35</v>
      </c>
      <c r="I16" t="s">
        <v>35</v>
      </c>
      <c r="K16" t="s">
        <v>35</v>
      </c>
      <c r="L16" t="s">
        <v>35</v>
      </c>
      <c r="M16" t="s">
        <v>35</v>
      </c>
      <c r="N16" t="s">
        <v>34</v>
      </c>
      <c r="O16" t="s">
        <v>35</v>
      </c>
      <c r="P16" t="s">
        <v>35</v>
      </c>
      <c r="R16" t="s">
        <v>35</v>
      </c>
      <c r="S16" t="s">
        <v>35</v>
      </c>
      <c r="T16" t="s">
        <v>34</v>
      </c>
      <c r="U16" t="s">
        <v>35</v>
      </c>
      <c r="V16" t="s">
        <v>35</v>
      </c>
      <c r="W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34</v>
      </c>
      <c r="AF16" t="s">
        <v>34</v>
      </c>
      <c r="AG16" t="s">
        <v>35</v>
      </c>
      <c r="AI16">
        <f t="shared" si="2"/>
        <v>30</v>
      </c>
      <c r="AJ16">
        <f t="shared" si="3"/>
        <v>21</v>
      </c>
      <c r="AK16">
        <f t="shared" si="4"/>
        <v>0</v>
      </c>
      <c r="AL16">
        <f t="shared" si="5"/>
        <v>4</v>
      </c>
      <c r="AM16">
        <f t="shared" si="6"/>
        <v>5</v>
      </c>
    </row>
    <row r="17" spans="2:39" x14ac:dyDescent="0.3">
      <c r="B17" s="6" t="s">
        <v>9</v>
      </c>
      <c r="C17" s="6" t="s">
        <v>63</v>
      </c>
      <c r="D17" t="s">
        <v>35</v>
      </c>
      <c r="E17" t="s">
        <v>35</v>
      </c>
      <c r="F17" t="s">
        <v>34</v>
      </c>
      <c r="G17" t="s">
        <v>35</v>
      </c>
      <c r="H17" t="s">
        <v>35</v>
      </c>
      <c r="I17" t="s">
        <v>34</v>
      </c>
      <c r="K17" t="s">
        <v>35</v>
      </c>
      <c r="L17" t="s">
        <v>34</v>
      </c>
      <c r="M17" t="s">
        <v>35</v>
      </c>
      <c r="N17" t="s">
        <v>35</v>
      </c>
      <c r="O17" t="s">
        <v>34</v>
      </c>
      <c r="P17" t="s">
        <v>35</v>
      </c>
      <c r="R17" t="s">
        <v>34</v>
      </c>
      <c r="S17" t="s">
        <v>35</v>
      </c>
      <c r="T17" t="s">
        <v>35</v>
      </c>
      <c r="U17" t="s">
        <v>34</v>
      </c>
      <c r="V17" t="s">
        <v>34</v>
      </c>
      <c r="W17" t="s">
        <v>34</v>
      </c>
      <c r="Y17" t="s">
        <v>34</v>
      </c>
      <c r="Z17" t="s">
        <v>35</v>
      </c>
      <c r="AA17" t="s">
        <v>35</v>
      </c>
      <c r="AB17" t="s">
        <v>34</v>
      </c>
      <c r="AC17" t="s">
        <v>35</v>
      </c>
      <c r="AD17" t="s">
        <v>35</v>
      </c>
      <c r="AF17" t="s">
        <v>35</v>
      </c>
      <c r="AG17" t="s">
        <v>34</v>
      </c>
      <c r="AI17">
        <f t="shared" si="2"/>
        <v>30</v>
      </c>
      <c r="AJ17">
        <f t="shared" si="3"/>
        <v>15</v>
      </c>
      <c r="AK17">
        <f t="shared" si="4"/>
        <v>0</v>
      </c>
      <c r="AL17">
        <f t="shared" si="5"/>
        <v>4</v>
      </c>
      <c r="AM17">
        <f t="shared" si="6"/>
        <v>11</v>
      </c>
    </row>
    <row r="18" spans="2:39" x14ac:dyDescent="0.3">
      <c r="B18" s="6" t="s">
        <v>10</v>
      </c>
      <c r="C18" s="6" t="s">
        <v>64</v>
      </c>
      <c r="D18" t="s">
        <v>35</v>
      </c>
      <c r="E18" t="s">
        <v>34</v>
      </c>
      <c r="F18" t="s">
        <v>35</v>
      </c>
      <c r="G18" t="s">
        <v>35</v>
      </c>
      <c r="H18" t="s">
        <v>35</v>
      </c>
      <c r="I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F18" t="s">
        <v>35</v>
      </c>
      <c r="AG18" t="s">
        <v>35</v>
      </c>
      <c r="AI18">
        <f t="shared" si="2"/>
        <v>30</v>
      </c>
      <c r="AJ18">
        <f t="shared" si="3"/>
        <v>25</v>
      </c>
      <c r="AK18">
        <f t="shared" si="4"/>
        <v>0</v>
      </c>
      <c r="AL18">
        <f t="shared" si="5"/>
        <v>4</v>
      </c>
      <c r="AM18">
        <f t="shared" si="6"/>
        <v>1</v>
      </c>
    </row>
    <row r="19" spans="2:39" x14ac:dyDescent="0.3">
      <c r="B19" s="6" t="s">
        <v>11</v>
      </c>
      <c r="C19" s="6" t="s">
        <v>65</v>
      </c>
      <c r="D19" t="s">
        <v>34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K19" t="s">
        <v>34</v>
      </c>
      <c r="L19" t="s">
        <v>35</v>
      </c>
      <c r="M19" t="s">
        <v>35</v>
      </c>
      <c r="N19" t="s">
        <v>34</v>
      </c>
      <c r="O19" t="s">
        <v>35</v>
      </c>
      <c r="P19" t="s">
        <v>34</v>
      </c>
      <c r="R19" t="s">
        <v>35</v>
      </c>
      <c r="S19" t="s">
        <v>35</v>
      </c>
      <c r="T19" t="s">
        <v>34</v>
      </c>
      <c r="U19" t="s">
        <v>35</v>
      </c>
      <c r="V19" t="s">
        <v>35</v>
      </c>
      <c r="W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34</v>
      </c>
      <c r="AF19" t="s">
        <v>34</v>
      </c>
      <c r="AG19" t="s">
        <v>35</v>
      </c>
      <c r="AI19">
        <f t="shared" si="2"/>
        <v>30</v>
      </c>
      <c r="AJ19">
        <f t="shared" si="3"/>
        <v>19</v>
      </c>
      <c r="AK19">
        <f t="shared" si="4"/>
        <v>0</v>
      </c>
      <c r="AL19">
        <f t="shared" si="5"/>
        <v>4</v>
      </c>
      <c r="AM19">
        <f t="shared" si="6"/>
        <v>7</v>
      </c>
    </row>
    <row r="20" spans="2:39" x14ac:dyDescent="0.3">
      <c r="B20" s="6" t="s">
        <v>12</v>
      </c>
      <c r="C20" s="6" t="s">
        <v>66</v>
      </c>
      <c r="D20" t="s">
        <v>35</v>
      </c>
      <c r="E20" t="s">
        <v>35</v>
      </c>
      <c r="F20" t="s">
        <v>34</v>
      </c>
      <c r="G20" t="s">
        <v>35</v>
      </c>
      <c r="H20" t="s">
        <v>34</v>
      </c>
      <c r="I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R20" t="s">
        <v>35</v>
      </c>
      <c r="S20" t="s">
        <v>34</v>
      </c>
      <c r="T20" t="s">
        <v>35</v>
      </c>
      <c r="U20" t="s">
        <v>35</v>
      </c>
      <c r="V20" t="s">
        <v>35</v>
      </c>
      <c r="W20" t="s">
        <v>35</v>
      </c>
      <c r="Y20" t="s">
        <v>34</v>
      </c>
      <c r="Z20" t="s">
        <v>35</v>
      </c>
      <c r="AA20" t="s">
        <v>34</v>
      </c>
      <c r="AB20" t="s">
        <v>35</v>
      </c>
      <c r="AC20" t="s">
        <v>35</v>
      </c>
      <c r="AD20" t="s">
        <v>35</v>
      </c>
      <c r="AF20" t="s">
        <v>35</v>
      </c>
      <c r="AG20" t="s">
        <v>35</v>
      </c>
      <c r="AI20">
        <f t="shared" si="2"/>
        <v>30</v>
      </c>
      <c r="AJ20">
        <f t="shared" si="3"/>
        <v>21</v>
      </c>
      <c r="AK20">
        <f t="shared" si="4"/>
        <v>0</v>
      </c>
      <c r="AL20">
        <f t="shared" si="5"/>
        <v>4</v>
      </c>
      <c r="AM20">
        <f t="shared" si="6"/>
        <v>5</v>
      </c>
    </row>
    <row r="34" spans="2:2" x14ac:dyDescent="0.3">
      <c r="B34" t="s">
        <v>13</v>
      </c>
    </row>
    <row r="35" spans="2:2" x14ac:dyDescent="0.3">
      <c r="B35" t="s">
        <v>14</v>
      </c>
    </row>
    <row r="36" spans="2:2" x14ac:dyDescent="0.3">
      <c r="B36" t="s">
        <v>15</v>
      </c>
    </row>
    <row r="37" spans="2:2" x14ac:dyDescent="0.3">
      <c r="B37" t="s">
        <v>16</v>
      </c>
    </row>
    <row r="38" spans="2:2" x14ac:dyDescent="0.3">
      <c r="B38" t="s">
        <v>17</v>
      </c>
    </row>
    <row r="39" spans="2:2" x14ac:dyDescent="0.3">
      <c r="B39" t="s">
        <v>18</v>
      </c>
    </row>
    <row r="40" spans="2:2" x14ac:dyDescent="0.3">
      <c r="B40" t="s">
        <v>19</v>
      </c>
    </row>
    <row r="41" spans="2:2" x14ac:dyDescent="0.3">
      <c r="B41" t="s">
        <v>20</v>
      </c>
    </row>
    <row r="42" spans="2:2" x14ac:dyDescent="0.3">
      <c r="B42" t="s">
        <v>21</v>
      </c>
    </row>
    <row r="43" spans="2:2" x14ac:dyDescent="0.3">
      <c r="B43" t="s">
        <v>22</v>
      </c>
    </row>
    <row r="44" spans="2:2" x14ac:dyDescent="0.3">
      <c r="B44" t="s">
        <v>23</v>
      </c>
    </row>
    <row r="45" spans="2:2" x14ac:dyDescent="0.3">
      <c r="B45" t="s">
        <v>24</v>
      </c>
    </row>
  </sheetData>
  <mergeCells count="40">
    <mergeCell ref="M6:M7"/>
    <mergeCell ref="C5:C7"/>
    <mergeCell ref="B5:B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Y6:Y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AL5:AL7"/>
    <mergeCell ref="AM5:AM7"/>
    <mergeCell ref="D2:AH4"/>
    <mergeCell ref="AI2:AM4"/>
    <mergeCell ref="AF6:AF7"/>
    <mergeCell ref="AG6:AG7"/>
    <mergeCell ref="AH6:AH7"/>
    <mergeCell ref="AI5:AI7"/>
    <mergeCell ref="AJ5:AJ7"/>
    <mergeCell ref="AK5:AK7"/>
    <mergeCell ref="Z6:Z7"/>
    <mergeCell ref="AA6:AA7"/>
    <mergeCell ref="AB6:AB7"/>
    <mergeCell ref="AC6:AC7"/>
    <mergeCell ref="AD6:AD7"/>
    <mergeCell ref="AE6:AE7"/>
  </mergeCells>
  <conditionalFormatting sqref="D8:X13 AF8:AG13 Y8:AE20 AH8:AH20 D14:S14 U14:X14 D15:X20 AF15:AG20">
    <cfRule type="containsText" dxfId="11" priority="5" operator="containsText" text="H">
      <formula>NOT(ISERROR(SEARCH("H",D8)))</formula>
    </cfRule>
    <cfRule type="containsText" dxfId="10" priority="8" operator="containsText" text="A">
      <formula>NOT(ISERROR(SEARCH("A",D8)))</formula>
    </cfRule>
  </conditionalFormatting>
  <conditionalFormatting sqref="D8:X13 AF8:AG13 Y8:AE20 AH8:AH20 D14:S14 V14:X14 D15:X20 AF15:AG20">
    <cfRule type="expression" dxfId="9" priority="11">
      <formula>D$6="Sun"</formula>
    </cfRule>
  </conditionalFormatting>
  <conditionalFormatting sqref="D5:AG5">
    <cfRule type="timePeriod" dxfId="8" priority="10" timePeriod="today">
      <formula>FLOOR(D5,1)=TODAY()</formula>
    </cfRule>
  </conditionalFormatting>
  <conditionalFormatting sqref="D5:AM7 D8:X13 AF8:AG13 Y8:AE20 AH8:AM20 D14:S14 V14:X14 D15:X20 AF15:AG20">
    <cfRule type="expression" dxfId="7" priority="12">
      <formula>D$5&lt;&gt;""</formula>
    </cfRule>
  </conditionalFormatting>
  <conditionalFormatting sqref="D5:AM7">
    <cfRule type="notContainsBlanks" dxfId="6" priority="18">
      <formula>LEN(TRIM(D5))&gt;0</formula>
    </cfRule>
  </conditionalFormatting>
  <conditionalFormatting sqref="U14">
    <cfRule type="expression" dxfId="5" priority="20">
      <formula>T$5&lt;&gt;""</formula>
    </cfRule>
    <cfRule type="expression" dxfId="4" priority="26">
      <formula>T$6="Sun"</formula>
    </cfRule>
  </conditionalFormatting>
  <conditionalFormatting sqref="AG14">
    <cfRule type="expression" dxfId="3" priority="1">
      <formula>AF$5&lt;&gt;""</formula>
    </cfRule>
    <cfRule type="containsText" dxfId="2" priority="2" operator="containsText" text="H">
      <formula>NOT(ISERROR(SEARCH("H",AG14)))</formula>
    </cfRule>
    <cfRule type="containsText" dxfId="1" priority="3" operator="containsText" text="A">
      <formula>NOT(ISERROR(SEARCH("A",AG14)))</formula>
    </cfRule>
    <cfRule type="expression" dxfId="0" priority="4">
      <formula>AF$6="Sun"</formula>
    </cfRule>
  </conditionalFormatting>
  <dataValidations count="4">
    <dataValidation type="list" allowBlank="1" showInputMessage="1" showErrorMessage="1" sqref="C3" xr:uid="{D78808CF-6AD2-43DD-90B8-DA77F408DBFE}">
      <formula1>"2026,2027,2028"</formula1>
    </dataValidation>
    <dataValidation type="list" allowBlank="1" showInputMessage="1" showErrorMessage="1" sqref="B3" xr:uid="{6C528270-9C40-4CED-8783-3FDDF63D9836}">
      <formula1>$B$34:$B$45</formula1>
    </dataValidation>
    <dataValidation type="custom" allowBlank="1" showInputMessage="1" showErrorMessage="1" errorTitle="Weekly Off(Sunday)" error="Attendance Entry is Not Allowed" sqref="D14:S14 AH14 V14:AE14 D15:AH20 D8:AH13" xr:uid="{FEE4F3D1-171A-46BE-8966-8113C5F06157}">
      <formula1>D$6&lt;&gt;"Sun"</formula1>
    </dataValidation>
    <dataValidation type="custom" allowBlank="1" showInputMessage="1" showErrorMessage="1" errorTitle="Weekly Off(Sunday)" error="Attendance Entry is Not Allowed" sqref="U14 AG14" xr:uid="{CD868CCB-91C9-4F95-8D3E-F3CBA1C30A06}">
      <formula1>T$6&lt;&gt;"Sun"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07E4-40E2-4BC0-8D41-16A4556E0826}">
  <dimension ref="A1:R17"/>
  <sheetViews>
    <sheetView zoomScale="97" workbookViewId="0">
      <selection activeCell="C25" sqref="C25"/>
    </sheetView>
  </sheetViews>
  <sheetFormatPr defaultRowHeight="14.4" x14ac:dyDescent="0.3"/>
  <cols>
    <col min="2" max="2" width="12.44140625" bestFit="1" customWidth="1"/>
    <col min="3" max="3" width="23.6640625" bestFit="1" customWidth="1"/>
    <col min="4" max="4" width="11.44140625" bestFit="1" customWidth="1"/>
    <col min="6" max="6" width="10.109375" customWidth="1"/>
    <col min="7" max="7" width="10.6640625" bestFit="1" customWidth="1"/>
    <col min="8" max="8" width="11.6640625" bestFit="1" customWidth="1"/>
    <col min="9" max="9" width="10.6640625" bestFit="1" customWidth="1"/>
    <col min="10" max="10" width="10.21875" bestFit="1" customWidth="1"/>
    <col min="11" max="11" width="11.6640625" bestFit="1" customWidth="1"/>
    <col min="12" max="12" width="10.6640625" bestFit="1" customWidth="1"/>
    <col min="13" max="13" width="6.88671875" bestFit="1" customWidth="1"/>
    <col min="14" max="14" width="10.6640625" bestFit="1" customWidth="1"/>
    <col min="15" max="15" width="13.21875" bestFit="1" customWidth="1"/>
    <col min="16" max="16" width="10.6640625" bestFit="1" customWidth="1"/>
    <col min="17" max="17" width="11.109375" bestFit="1" customWidth="1"/>
    <col min="18" max="18" width="11.6640625" bestFit="1" customWidth="1"/>
  </cols>
  <sheetData>
    <row r="1" spans="1:18" x14ac:dyDescent="0.3">
      <c r="A1" s="43" t="str">
        <f>"Fully Automatic Salary Sheet - "&amp;Attendance_Sheet!B3&amp;" "&amp;Attendance_Sheet!C3</f>
        <v>Fully Automatic Salary Sheet - June 2026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 t="s">
        <v>52</v>
      </c>
      <c r="Q1" s="45"/>
      <c r="R1" s="45"/>
    </row>
    <row r="2" spans="1:18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5"/>
      <c r="Q2" s="45"/>
      <c r="R2" s="45"/>
    </row>
    <row r="3" spans="1:18" x14ac:dyDescent="0.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5"/>
      <c r="Q3" s="45"/>
      <c r="R3" s="45"/>
    </row>
    <row r="4" spans="1:18" ht="41.4" x14ac:dyDescent="0.3">
      <c r="A4" s="7" t="s">
        <v>27</v>
      </c>
      <c r="B4" s="7" t="s">
        <v>37</v>
      </c>
      <c r="C4" s="7" t="s">
        <v>38</v>
      </c>
      <c r="D4" s="8" t="s">
        <v>39</v>
      </c>
      <c r="E4" s="8" t="s">
        <v>29</v>
      </c>
      <c r="F4" s="8" t="s">
        <v>40</v>
      </c>
      <c r="G4" s="8" t="s">
        <v>50</v>
      </c>
      <c r="H4" s="8" t="s">
        <v>41</v>
      </c>
      <c r="I4" s="7" t="s">
        <v>42</v>
      </c>
      <c r="J4" s="7" t="s">
        <v>43</v>
      </c>
      <c r="K4" s="7" t="s">
        <v>44</v>
      </c>
      <c r="L4" s="7" t="s">
        <v>45</v>
      </c>
      <c r="M4" s="8" t="s">
        <v>76</v>
      </c>
      <c r="N4" s="8" t="s">
        <v>46</v>
      </c>
      <c r="O4" s="8" t="s">
        <v>47</v>
      </c>
      <c r="P4" s="7" t="s">
        <v>48</v>
      </c>
      <c r="Q4" s="7" t="s">
        <v>93</v>
      </c>
      <c r="R4" s="8" t="s">
        <v>51</v>
      </c>
    </row>
    <row r="5" spans="1:18" x14ac:dyDescent="0.3">
      <c r="A5" s="6" t="str">
        <f>Attendance_Sheet!B8</f>
        <v>EMP001</v>
      </c>
      <c r="B5" s="6" t="str">
        <f>Attendance_Sheet!C8</f>
        <v>Aarav Sharma</v>
      </c>
      <c r="C5" s="9" t="s">
        <v>53</v>
      </c>
      <c r="D5" s="33">
        <v>65000</v>
      </c>
      <c r="E5" s="1">
        <f>Attendance_Sheet!AI8</f>
        <v>30</v>
      </c>
      <c r="F5" s="1">
        <f>SUM(Attendance_Sheet!AJ8:AL8)</f>
        <v>28</v>
      </c>
      <c r="G5" s="34">
        <f>D5/E5</f>
        <v>2166.6666666666665</v>
      </c>
      <c r="H5" s="34">
        <f>F5*G5</f>
        <v>60666.666666666664</v>
      </c>
      <c r="I5" s="34">
        <f>D5*12%</f>
        <v>7800</v>
      </c>
      <c r="J5" s="1" t="s">
        <v>74</v>
      </c>
      <c r="K5" s="34">
        <f>IF(J5="Metro",D5*50%,D5*40%)</f>
        <v>32500</v>
      </c>
      <c r="L5" s="34">
        <v>1000</v>
      </c>
      <c r="M5" s="10">
        <v>10</v>
      </c>
      <c r="N5" s="34">
        <f>G5/9*M5</f>
        <v>2407.4074074074074</v>
      </c>
      <c r="O5" s="34">
        <f>H5+I5+K5+L5+N5</f>
        <v>104374.07407407406</v>
      </c>
      <c r="P5" s="34">
        <f>D5*12%</f>
        <v>7800</v>
      </c>
      <c r="Q5" s="35" t="str">
        <f>IF(O5&lt;=21000,O5*0.75%,"N/A")</f>
        <v>N/A</v>
      </c>
      <c r="R5" s="34">
        <f>IF(ISNUMBER(Q5),O5-P5-Q5,O5-P5)</f>
        <v>96574.074074074058</v>
      </c>
    </row>
    <row r="6" spans="1:18" x14ac:dyDescent="0.3">
      <c r="A6" s="6" t="str">
        <f>Attendance_Sheet!B9</f>
        <v>EMP002</v>
      </c>
      <c r="B6" s="6" t="str">
        <f>Attendance_Sheet!C9</f>
        <v>Priya Singh</v>
      </c>
      <c r="C6" s="9" t="s">
        <v>67</v>
      </c>
      <c r="D6" s="33">
        <v>42000</v>
      </c>
      <c r="E6" s="1">
        <f>Attendance_Sheet!AI9</f>
        <v>30</v>
      </c>
      <c r="F6" s="1">
        <f>SUM(Attendance_Sheet!AJ9:AL9)</f>
        <v>22</v>
      </c>
      <c r="G6" s="34">
        <f t="shared" ref="G6:G17" si="0">D6/E6</f>
        <v>1400</v>
      </c>
      <c r="H6" s="34">
        <f t="shared" ref="H6:H17" si="1">F6*G6</f>
        <v>30800</v>
      </c>
      <c r="I6" s="34">
        <f t="shared" ref="I6:I17" si="2">D6*12%</f>
        <v>5040</v>
      </c>
      <c r="J6" s="1" t="s">
        <v>75</v>
      </c>
      <c r="K6" s="34">
        <f t="shared" ref="K6:K17" si="3">IF(J6="Metro",D6*50%,D6*40%)</f>
        <v>16800</v>
      </c>
      <c r="L6" s="34">
        <v>2000</v>
      </c>
      <c r="M6" s="10">
        <v>15</v>
      </c>
      <c r="N6" s="34">
        <f t="shared" ref="N6:N17" si="4">G6/9*M6</f>
        <v>2333.333333333333</v>
      </c>
      <c r="O6" s="34">
        <f t="shared" ref="O6:O17" si="5">H6+I6+K6+L6+N6</f>
        <v>56973.333333333336</v>
      </c>
      <c r="P6" s="34">
        <f t="shared" ref="P6:P17" si="6">D6*12%</f>
        <v>5040</v>
      </c>
      <c r="Q6" s="35" t="str">
        <f t="shared" ref="Q6:Q17" si="7">IF(O6&lt;=21000,O6*0.75%,"N/A")</f>
        <v>N/A</v>
      </c>
      <c r="R6" s="34">
        <f t="shared" ref="R6:R17" si="8">IF(ISNUMBER(Q6),O6-P6-Q6,O6-P6)</f>
        <v>51933.333333333336</v>
      </c>
    </row>
    <row r="7" spans="1:18" x14ac:dyDescent="0.3">
      <c r="A7" s="6" t="str">
        <f>Attendance_Sheet!B10</f>
        <v>EMP003</v>
      </c>
      <c r="B7" s="6" t="str">
        <f>Attendance_Sheet!C10</f>
        <v>Rahul Verma</v>
      </c>
      <c r="C7" s="9" t="s">
        <v>68</v>
      </c>
      <c r="D7" s="33">
        <v>50000</v>
      </c>
      <c r="E7" s="1">
        <f>Attendance_Sheet!AI10</f>
        <v>30</v>
      </c>
      <c r="F7" s="1">
        <f>SUM(Attendance_Sheet!AJ10:AL10)</f>
        <v>24</v>
      </c>
      <c r="G7" s="34">
        <f t="shared" si="0"/>
        <v>1666.6666666666667</v>
      </c>
      <c r="H7" s="34">
        <f t="shared" si="1"/>
        <v>40000</v>
      </c>
      <c r="I7" s="34">
        <f t="shared" si="2"/>
        <v>6000</v>
      </c>
      <c r="J7" s="1" t="s">
        <v>74</v>
      </c>
      <c r="K7" s="34">
        <f t="shared" si="3"/>
        <v>25000</v>
      </c>
      <c r="L7" s="34">
        <v>1000</v>
      </c>
      <c r="M7" s="10">
        <v>20</v>
      </c>
      <c r="N7" s="34">
        <f t="shared" si="4"/>
        <v>3703.7037037037039</v>
      </c>
      <c r="O7" s="34">
        <f t="shared" si="5"/>
        <v>75703.703703703708</v>
      </c>
      <c r="P7" s="34">
        <f t="shared" si="6"/>
        <v>6000</v>
      </c>
      <c r="Q7" s="35" t="str">
        <f t="shared" si="7"/>
        <v>N/A</v>
      </c>
      <c r="R7" s="34">
        <f t="shared" si="8"/>
        <v>69703.703703703708</v>
      </c>
    </row>
    <row r="8" spans="1:18" x14ac:dyDescent="0.3">
      <c r="A8" s="6" t="str">
        <f>Attendance_Sheet!B11</f>
        <v>EMP004</v>
      </c>
      <c r="B8" s="6" t="str">
        <f>Attendance_Sheet!C11</f>
        <v>Neha Gupta</v>
      </c>
      <c r="C8" s="9" t="s">
        <v>69</v>
      </c>
      <c r="D8" s="33">
        <v>45000</v>
      </c>
      <c r="E8" s="1">
        <f>Attendance_Sheet!AI11</f>
        <v>30</v>
      </c>
      <c r="F8" s="1">
        <f>SUM(Attendance_Sheet!AJ11:AL11)</f>
        <v>27</v>
      </c>
      <c r="G8" s="34">
        <f t="shared" si="0"/>
        <v>1500</v>
      </c>
      <c r="H8" s="34">
        <f t="shared" si="1"/>
        <v>40500</v>
      </c>
      <c r="I8" s="34">
        <f t="shared" si="2"/>
        <v>5400</v>
      </c>
      <c r="J8" s="1" t="s">
        <v>74</v>
      </c>
      <c r="K8" s="34">
        <f t="shared" si="3"/>
        <v>22500</v>
      </c>
      <c r="L8" s="34">
        <v>3000</v>
      </c>
      <c r="M8" s="10">
        <v>25</v>
      </c>
      <c r="N8" s="34">
        <f t="shared" si="4"/>
        <v>4166.6666666666661</v>
      </c>
      <c r="O8" s="34">
        <f t="shared" si="5"/>
        <v>75566.666666666672</v>
      </c>
      <c r="P8" s="34">
        <f t="shared" si="6"/>
        <v>5400</v>
      </c>
      <c r="Q8" s="35" t="str">
        <f t="shared" si="7"/>
        <v>N/A</v>
      </c>
      <c r="R8" s="34">
        <f t="shared" si="8"/>
        <v>70166.666666666672</v>
      </c>
    </row>
    <row r="9" spans="1:18" x14ac:dyDescent="0.3">
      <c r="A9" s="6" t="str">
        <f>Attendance_Sheet!B12</f>
        <v>EMP005</v>
      </c>
      <c r="B9" s="6" t="str">
        <f>Attendance_Sheet!C12</f>
        <v>Vikram Patel</v>
      </c>
      <c r="C9" s="9" t="s">
        <v>70</v>
      </c>
      <c r="D9" s="33">
        <v>48000</v>
      </c>
      <c r="E9" s="1">
        <f>Attendance_Sheet!AI12</f>
        <v>30</v>
      </c>
      <c r="F9" s="1">
        <f>SUM(Attendance_Sheet!AJ12:AL12)</f>
        <v>23</v>
      </c>
      <c r="G9" s="34">
        <f t="shared" si="0"/>
        <v>1600</v>
      </c>
      <c r="H9" s="34">
        <f t="shared" si="1"/>
        <v>36800</v>
      </c>
      <c r="I9" s="34">
        <f t="shared" si="2"/>
        <v>5760</v>
      </c>
      <c r="J9" s="1" t="s">
        <v>75</v>
      </c>
      <c r="K9" s="34">
        <f t="shared" si="3"/>
        <v>19200</v>
      </c>
      <c r="L9" s="34">
        <v>2000</v>
      </c>
      <c r="M9" s="10">
        <v>20</v>
      </c>
      <c r="N9" s="34">
        <f t="shared" si="4"/>
        <v>3555.5555555555557</v>
      </c>
      <c r="O9" s="34">
        <f t="shared" si="5"/>
        <v>67315.555555555562</v>
      </c>
      <c r="P9" s="34">
        <f t="shared" si="6"/>
        <v>5760</v>
      </c>
      <c r="Q9" s="35" t="str">
        <f t="shared" si="7"/>
        <v>N/A</v>
      </c>
      <c r="R9" s="34">
        <f t="shared" si="8"/>
        <v>61555.555555555562</v>
      </c>
    </row>
    <row r="10" spans="1:18" x14ac:dyDescent="0.3">
      <c r="A10" s="6" t="str">
        <f>Attendance_Sheet!B13</f>
        <v>EMP006</v>
      </c>
      <c r="B10" s="6" t="str">
        <f>Attendance_Sheet!C13</f>
        <v>Ananya Roy</v>
      </c>
      <c r="C10" s="9" t="s">
        <v>71</v>
      </c>
      <c r="D10" s="33">
        <v>52000</v>
      </c>
      <c r="E10" s="1">
        <f>Attendance_Sheet!AI13</f>
        <v>30</v>
      </c>
      <c r="F10" s="1">
        <f>SUM(Attendance_Sheet!AJ13:AL13)</f>
        <v>25</v>
      </c>
      <c r="G10" s="34">
        <f t="shared" si="0"/>
        <v>1733.3333333333333</v>
      </c>
      <c r="H10" s="34">
        <f t="shared" si="1"/>
        <v>43333.333333333328</v>
      </c>
      <c r="I10" s="34">
        <f t="shared" si="2"/>
        <v>6240</v>
      </c>
      <c r="J10" s="1" t="s">
        <v>75</v>
      </c>
      <c r="K10" s="34">
        <f t="shared" si="3"/>
        <v>20800</v>
      </c>
      <c r="L10" s="34">
        <v>1000</v>
      </c>
      <c r="M10" s="10">
        <v>20</v>
      </c>
      <c r="N10" s="34">
        <f t="shared" si="4"/>
        <v>3851.8518518518517</v>
      </c>
      <c r="O10" s="34">
        <f t="shared" si="5"/>
        <v>75225.185185185182</v>
      </c>
      <c r="P10" s="34">
        <f t="shared" si="6"/>
        <v>6240</v>
      </c>
      <c r="Q10" s="35" t="str">
        <f t="shared" si="7"/>
        <v>N/A</v>
      </c>
      <c r="R10" s="34">
        <f t="shared" si="8"/>
        <v>68985.185185185182</v>
      </c>
    </row>
    <row r="11" spans="1:18" x14ac:dyDescent="0.3">
      <c r="A11" s="6" t="str">
        <f>Attendance_Sheet!B14</f>
        <v>EMP007</v>
      </c>
      <c r="B11" s="6" t="str">
        <f>Attendance_Sheet!C14</f>
        <v>Karan Mehta</v>
      </c>
      <c r="C11" s="9" t="s">
        <v>72</v>
      </c>
      <c r="D11" s="33">
        <v>60000</v>
      </c>
      <c r="E11" s="1">
        <f>Attendance_Sheet!AI14</f>
        <v>30</v>
      </c>
      <c r="F11" s="1">
        <f>SUM(Attendance_Sheet!AJ14:AL14)</f>
        <v>21</v>
      </c>
      <c r="G11" s="34">
        <f t="shared" si="0"/>
        <v>2000</v>
      </c>
      <c r="H11" s="34">
        <f t="shared" si="1"/>
        <v>42000</v>
      </c>
      <c r="I11" s="34">
        <f t="shared" si="2"/>
        <v>7200</v>
      </c>
      <c r="J11" s="1" t="s">
        <v>74</v>
      </c>
      <c r="K11" s="34">
        <f t="shared" si="3"/>
        <v>30000</v>
      </c>
      <c r="L11" s="34">
        <v>3000</v>
      </c>
      <c r="M11" s="10">
        <v>12</v>
      </c>
      <c r="N11" s="34">
        <f t="shared" si="4"/>
        <v>2666.666666666667</v>
      </c>
      <c r="O11" s="34">
        <f t="shared" si="5"/>
        <v>84866.666666666672</v>
      </c>
      <c r="P11" s="34">
        <f t="shared" si="6"/>
        <v>7200</v>
      </c>
      <c r="Q11" s="35" t="str">
        <f t="shared" si="7"/>
        <v>N/A</v>
      </c>
      <c r="R11" s="34">
        <f t="shared" si="8"/>
        <v>77666.666666666672</v>
      </c>
    </row>
    <row r="12" spans="1:18" x14ac:dyDescent="0.3">
      <c r="A12" s="6" t="str">
        <f>Attendance_Sheet!B15</f>
        <v>EMP008</v>
      </c>
      <c r="B12" s="6" t="str">
        <f>Attendance_Sheet!C15</f>
        <v>Sneha Kapoor</v>
      </c>
      <c r="C12" s="9" t="s">
        <v>72</v>
      </c>
      <c r="D12" s="33">
        <v>60000</v>
      </c>
      <c r="E12" s="1">
        <f>Attendance_Sheet!AI15</f>
        <v>30</v>
      </c>
      <c r="F12" s="1">
        <f>SUM(Attendance_Sheet!AJ15:AL15)</f>
        <v>23</v>
      </c>
      <c r="G12" s="34">
        <f t="shared" si="0"/>
        <v>2000</v>
      </c>
      <c r="H12" s="34">
        <f t="shared" si="1"/>
        <v>46000</v>
      </c>
      <c r="I12" s="34">
        <f t="shared" si="2"/>
        <v>7200</v>
      </c>
      <c r="J12" s="1" t="s">
        <v>75</v>
      </c>
      <c r="K12" s="34">
        <f t="shared" si="3"/>
        <v>24000</v>
      </c>
      <c r="L12" s="34">
        <v>2000</v>
      </c>
      <c r="M12" s="10">
        <v>15</v>
      </c>
      <c r="N12" s="34">
        <f t="shared" si="4"/>
        <v>3333.3333333333335</v>
      </c>
      <c r="O12" s="34">
        <f t="shared" si="5"/>
        <v>82533.333333333328</v>
      </c>
      <c r="P12" s="34">
        <f t="shared" si="6"/>
        <v>7200</v>
      </c>
      <c r="Q12" s="35" t="str">
        <f t="shared" si="7"/>
        <v>N/A</v>
      </c>
      <c r="R12" s="34">
        <f t="shared" si="8"/>
        <v>75333.333333333328</v>
      </c>
    </row>
    <row r="13" spans="1:18" x14ac:dyDescent="0.3">
      <c r="A13" s="6" t="str">
        <f>Attendance_Sheet!B16</f>
        <v>EMP009</v>
      </c>
      <c r="B13" s="6" t="str">
        <f>Attendance_Sheet!C16</f>
        <v>Rohan Das</v>
      </c>
      <c r="C13" s="9" t="s">
        <v>73</v>
      </c>
      <c r="D13" s="33">
        <v>55000</v>
      </c>
      <c r="E13" s="1">
        <f>Attendance_Sheet!AI16</f>
        <v>30</v>
      </c>
      <c r="F13" s="1">
        <f>SUM(Attendance_Sheet!AJ16:AL16)</f>
        <v>25</v>
      </c>
      <c r="G13" s="34">
        <f t="shared" si="0"/>
        <v>1833.3333333333333</v>
      </c>
      <c r="H13" s="34">
        <f t="shared" si="1"/>
        <v>45833.333333333328</v>
      </c>
      <c r="I13" s="34">
        <f t="shared" si="2"/>
        <v>6600</v>
      </c>
      <c r="J13" s="1" t="s">
        <v>74</v>
      </c>
      <c r="K13" s="34">
        <f t="shared" si="3"/>
        <v>27500</v>
      </c>
      <c r="L13" s="34">
        <v>1000</v>
      </c>
      <c r="M13" s="10">
        <v>25</v>
      </c>
      <c r="N13" s="34">
        <f t="shared" si="4"/>
        <v>5092.5925925925922</v>
      </c>
      <c r="O13" s="34">
        <f t="shared" si="5"/>
        <v>86025.925925925927</v>
      </c>
      <c r="P13" s="34">
        <f t="shared" si="6"/>
        <v>6600</v>
      </c>
      <c r="Q13" s="35" t="str">
        <f t="shared" si="7"/>
        <v>N/A</v>
      </c>
      <c r="R13" s="34">
        <f t="shared" si="8"/>
        <v>79425.925925925927</v>
      </c>
    </row>
    <row r="14" spans="1:18" x14ac:dyDescent="0.3">
      <c r="A14" s="6" t="str">
        <f>Attendance_Sheet!B17</f>
        <v>EMP010</v>
      </c>
      <c r="B14" s="6" t="str">
        <f>Attendance_Sheet!C17</f>
        <v>Pooja Nair</v>
      </c>
      <c r="C14" s="9" t="s">
        <v>77</v>
      </c>
      <c r="D14" s="33">
        <v>15000</v>
      </c>
      <c r="E14" s="1">
        <f>Attendance_Sheet!AI17</f>
        <v>30</v>
      </c>
      <c r="F14" s="1">
        <f>SUM(Attendance_Sheet!AJ17:AL17)</f>
        <v>19</v>
      </c>
      <c r="G14" s="34">
        <f t="shared" si="0"/>
        <v>500</v>
      </c>
      <c r="H14" s="34">
        <f t="shared" si="1"/>
        <v>9500</v>
      </c>
      <c r="I14" s="34">
        <f t="shared" si="2"/>
        <v>1800</v>
      </c>
      <c r="J14" s="1" t="s">
        <v>74</v>
      </c>
      <c r="K14" s="34">
        <f t="shared" si="3"/>
        <v>7500</v>
      </c>
      <c r="L14" s="34">
        <v>1000</v>
      </c>
      <c r="M14" s="10">
        <v>20</v>
      </c>
      <c r="N14" s="34">
        <f t="shared" si="4"/>
        <v>1111.1111111111111</v>
      </c>
      <c r="O14" s="34">
        <f t="shared" si="5"/>
        <v>20911.111111111109</v>
      </c>
      <c r="P14" s="34">
        <f t="shared" si="6"/>
        <v>1800</v>
      </c>
      <c r="Q14" s="35">
        <f t="shared" si="7"/>
        <v>156.83333333333331</v>
      </c>
      <c r="R14" s="34">
        <f t="shared" si="8"/>
        <v>18954.277777777777</v>
      </c>
    </row>
    <row r="15" spans="1:18" x14ac:dyDescent="0.3">
      <c r="A15" s="6" t="str">
        <f>Attendance_Sheet!B18</f>
        <v>EMP011</v>
      </c>
      <c r="B15" s="6" t="str">
        <f>Attendance_Sheet!C18</f>
        <v>Arjun Kumar</v>
      </c>
      <c r="C15" s="9" t="s">
        <v>78</v>
      </c>
      <c r="D15" s="33">
        <v>10000</v>
      </c>
      <c r="E15" s="1">
        <f>Attendance_Sheet!AI18</f>
        <v>30</v>
      </c>
      <c r="F15" s="1">
        <f>SUM(Attendance_Sheet!AJ18:AL18)</f>
        <v>29</v>
      </c>
      <c r="G15" s="34">
        <f t="shared" si="0"/>
        <v>333.33333333333331</v>
      </c>
      <c r="H15" s="34">
        <f t="shared" si="1"/>
        <v>9666.6666666666661</v>
      </c>
      <c r="I15" s="34">
        <f t="shared" si="2"/>
        <v>1200</v>
      </c>
      <c r="J15" s="1" t="s">
        <v>74</v>
      </c>
      <c r="K15" s="34">
        <f t="shared" si="3"/>
        <v>5000</v>
      </c>
      <c r="L15" s="34">
        <v>2000</v>
      </c>
      <c r="M15" s="10">
        <v>10</v>
      </c>
      <c r="N15" s="34">
        <f t="shared" si="4"/>
        <v>370.37037037037038</v>
      </c>
      <c r="O15" s="34">
        <f t="shared" si="5"/>
        <v>18237.037037037033</v>
      </c>
      <c r="P15" s="34">
        <f t="shared" si="6"/>
        <v>1200</v>
      </c>
      <c r="Q15" s="35">
        <f t="shared" si="7"/>
        <v>136.77777777777774</v>
      </c>
      <c r="R15" s="34">
        <f t="shared" si="8"/>
        <v>16900.259259259255</v>
      </c>
    </row>
    <row r="16" spans="1:18" x14ac:dyDescent="0.3">
      <c r="A16" s="6" t="str">
        <f>Attendance_Sheet!B19</f>
        <v>EMP012</v>
      </c>
      <c r="B16" s="6" t="str">
        <f>Attendance_Sheet!C19</f>
        <v>Meera Joshi</v>
      </c>
      <c r="C16" s="9" t="s">
        <v>79</v>
      </c>
      <c r="D16" s="33">
        <v>10000</v>
      </c>
      <c r="E16" s="1">
        <f>Attendance_Sheet!AI19</f>
        <v>30</v>
      </c>
      <c r="F16" s="1">
        <f>SUM(Attendance_Sheet!AJ19:AL19)</f>
        <v>23</v>
      </c>
      <c r="G16" s="34">
        <f t="shared" si="0"/>
        <v>333.33333333333331</v>
      </c>
      <c r="H16" s="34">
        <f t="shared" si="1"/>
        <v>7666.6666666666661</v>
      </c>
      <c r="I16" s="34">
        <f t="shared" si="2"/>
        <v>1200</v>
      </c>
      <c r="J16" s="1" t="s">
        <v>75</v>
      </c>
      <c r="K16" s="34">
        <f t="shared" si="3"/>
        <v>4000</v>
      </c>
      <c r="L16" s="34">
        <v>2000</v>
      </c>
      <c r="M16" s="10">
        <v>23</v>
      </c>
      <c r="N16" s="34">
        <f t="shared" si="4"/>
        <v>851.85185185185185</v>
      </c>
      <c r="O16" s="34">
        <f t="shared" si="5"/>
        <v>15718.518518518518</v>
      </c>
      <c r="P16" s="34">
        <f t="shared" si="6"/>
        <v>1200</v>
      </c>
      <c r="Q16" s="35">
        <f t="shared" si="7"/>
        <v>117.88888888888889</v>
      </c>
      <c r="R16" s="34">
        <f t="shared" si="8"/>
        <v>14400.62962962963</v>
      </c>
    </row>
    <row r="17" spans="1:18" x14ac:dyDescent="0.3">
      <c r="A17" s="6" t="str">
        <f>Attendance_Sheet!B20</f>
        <v>EMP013</v>
      </c>
      <c r="B17" s="6" t="str">
        <f>Attendance_Sheet!C20</f>
        <v>Aditya Mishra</v>
      </c>
      <c r="C17" s="9" t="s">
        <v>79</v>
      </c>
      <c r="D17" s="33">
        <v>10000</v>
      </c>
      <c r="E17" s="1">
        <f>Attendance_Sheet!AI20</f>
        <v>30</v>
      </c>
      <c r="F17" s="1">
        <f>SUM(Attendance_Sheet!AJ20:AL20)</f>
        <v>25</v>
      </c>
      <c r="G17" s="34">
        <f t="shared" si="0"/>
        <v>333.33333333333331</v>
      </c>
      <c r="H17" s="34">
        <f t="shared" si="1"/>
        <v>8333.3333333333321</v>
      </c>
      <c r="I17" s="34">
        <f t="shared" si="2"/>
        <v>1200</v>
      </c>
      <c r="J17" s="1" t="s">
        <v>74</v>
      </c>
      <c r="K17" s="34">
        <f t="shared" si="3"/>
        <v>5000</v>
      </c>
      <c r="L17" s="34">
        <v>3000</v>
      </c>
      <c r="M17" s="10">
        <v>15</v>
      </c>
      <c r="N17" s="34">
        <f t="shared" si="4"/>
        <v>555.55555555555554</v>
      </c>
      <c r="O17" s="34">
        <f t="shared" si="5"/>
        <v>18088.888888888887</v>
      </c>
      <c r="P17" s="34">
        <f t="shared" si="6"/>
        <v>1200</v>
      </c>
      <c r="Q17" s="35">
        <f t="shared" si="7"/>
        <v>135.66666666666666</v>
      </c>
      <c r="R17" s="34">
        <f t="shared" si="8"/>
        <v>16753.222222222219</v>
      </c>
    </row>
  </sheetData>
  <mergeCells count="2">
    <mergeCell ref="A1:O3"/>
    <mergeCell ref="P1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8444-85DD-4209-9BA4-D96612328D89}">
  <dimension ref="B1:G27"/>
  <sheetViews>
    <sheetView tabSelected="1" zoomScale="87" workbookViewId="0">
      <selection activeCell="D29" sqref="D29"/>
    </sheetView>
  </sheetViews>
  <sheetFormatPr defaultRowHeight="14.4" x14ac:dyDescent="0.3"/>
  <cols>
    <col min="2" max="2" width="1.77734375" customWidth="1"/>
    <col min="3" max="3" width="25.77734375" customWidth="1"/>
    <col min="4" max="4" width="12.88671875" bestFit="1" customWidth="1"/>
    <col min="5" max="5" width="23.33203125" customWidth="1"/>
    <col min="6" max="6" width="10.77734375" customWidth="1"/>
    <col min="7" max="7" width="1.77734375" customWidth="1"/>
  </cols>
  <sheetData>
    <row r="1" spans="2:7" ht="15" thickBot="1" x14ac:dyDescent="0.35"/>
    <row r="2" spans="2:7" ht="30" x14ac:dyDescent="0.5">
      <c r="B2" s="46" t="s">
        <v>80</v>
      </c>
      <c r="C2" s="47"/>
      <c r="D2" s="47"/>
      <c r="E2" s="47"/>
      <c r="F2" s="47"/>
      <c r="G2" s="48"/>
    </row>
    <row r="3" spans="2:7" ht="14.4" customHeight="1" x14ac:dyDescent="0.3">
      <c r="B3" s="13"/>
      <c r="C3" s="49" t="s">
        <v>92</v>
      </c>
      <c r="D3" s="50"/>
      <c r="E3" s="50"/>
      <c r="F3" s="51"/>
      <c r="G3" s="14"/>
    </row>
    <row r="4" spans="2:7" ht="34.200000000000003" customHeight="1" x14ac:dyDescent="0.3">
      <c r="B4" s="13"/>
      <c r="C4" s="52" t="s">
        <v>94</v>
      </c>
      <c r="D4" s="53"/>
      <c r="E4" s="53"/>
      <c r="F4" s="54"/>
      <c r="G4" s="14"/>
    </row>
    <row r="5" spans="2:7" ht="19.2" customHeight="1" x14ac:dyDescent="0.3">
      <c r="B5" s="13"/>
      <c r="C5" s="55" t="str">
        <f>"Salary Slip For The Month Of - "&amp;Attendance_Sheet!B3&amp;" "&amp;Attendance_Sheet!C3</f>
        <v>Salary Slip For The Month Of - June 2026</v>
      </c>
      <c r="D5" s="56"/>
      <c r="E5" s="56"/>
      <c r="F5" s="57"/>
      <c r="G5" s="14"/>
    </row>
    <row r="6" spans="2:7" x14ac:dyDescent="0.3">
      <c r="B6" s="13"/>
      <c r="C6" s="11"/>
      <c r="D6" s="11"/>
      <c r="E6" s="11"/>
      <c r="F6" s="11"/>
      <c r="G6" s="14"/>
    </row>
    <row r="7" spans="2:7" x14ac:dyDescent="0.3">
      <c r="B7" s="13"/>
      <c r="C7" s="18" t="s">
        <v>81</v>
      </c>
      <c r="D7" s="19"/>
      <c r="E7" s="19" t="s">
        <v>82</v>
      </c>
      <c r="F7" s="20"/>
      <c r="G7" s="14"/>
    </row>
    <row r="8" spans="2:7" x14ac:dyDescent="0.3">
      <c r="B8" s="13"/>
      <c r="C8" s="21" t="s">
        <v>27</v>
      </c>
      <c r="D8" s="11" t="s">
        <v>0</v>
      </c>
      <c r="E8" s="11" t="s">
        <v>29</v>
      </c>
      <c r="F8" s="22">
        <f>VLOOKUP($D$8,Salary_Sheet!$A$4:$R$17,MATCH(E8,Salary_Sheet!$A$4:$R$4,0),FALSE)</f>
        <v>30</v>
      </c>
      <c r="G8" s="14"/>
    </row>
    <row r="9" spans="2:7" x14ac:dyDescent="0.3">
      <c r="B9" s="13"/>
      <c r="C9" s="21" t="s">
        <v>37</v>
      </c>
      <c r="D9" s="11" t="str">
        <f>VLOOKUP($D$8,Salary_Sheet!$A$4:$R$17,MATCH(C9,Salary_Sheet!$A$4:$R$4,0),FALSE)</f>
        <v>Aarav Sharma</v>
      </c>
      <c r="E9" s="12" t="s">
        <v>40</v>
      </c>
      <c r="F9" s="22">
        <f>VLOOKUP($D$8,Salary_Sheet!$A$4:$R$17,MATCH(E9,Salary_Sheet!$A$4:$R$4,0),FALSE)</f>
        <v>28</v>
      </c>
      <c r="G9" s="14"/>
    </row>
    <row r="10" spans="2:7" x14ac:dyDescent="0.3">
      <c r="B10" s="13"/>
      <c r="C10" s="23" t="s">
        <v>38</v>
      </c>
      <c r="D10" s="24" t="str">
        <f>VLOOKUP($D$8,Salary_Sheet!$A$4:$R$17,MATCH(C10,Salary_Sheet!$A$4:$R$4,0),FALSE)</f>
        <v>Manager</v>
      </c>
      <c r="E10" s="24" t="s">
        <v>83</v>
      </c>
      <c r="F10" s="25">
        <f ca="1">TODAY()</f>
        <v>46178</v>
      </c>
      <c r="G10" s="14"/>
    </row>
    <row r="11" spans="2:7" x14ac:dyDescent="0.3">
      <c r="B11" s="13"/>
      <c r="C11" s="11"/>
      <c r="D11" s="11"/>
      <c r="E11" s="11"/>
      <c r="F11" s="11"/>
      <c r="G11" s="14"/>
    </row>
    <row r="12" spans="2:7" ht="21" x14ac:dyDescent="0.3">
      <c r="B12" s="13"/>
      <c r="C12" s="26" t="s">
        <v>39</v>
      </c>
      <c r="D12" s="27"/>
      <c r="E12" s="61">
        <f>VLOOKUP($D$8,Salary_Sheet!$A$4:$R$17,MATCH(C12,Salary_Sheet!$A$4:$R$4,0),FALSE)</f>
        <v>65000</v>
      </c>
      <c r="F12" s="62"/>
      <c r="G12" s="14"/>
    </row>
    <row r="13" spans="2:7" x14ac:dyDescent="0.3">
      <c r="B13" s="13"/>
      <c r="C13" s="11"/>
      <c r="D13" s="11"/>
      <c r="E13" s="11"/>
      <c r="F13" s="11"/>
      <c r="G13" s="14"/>
    </row>
    <row r="14" spans="2:7" x14ac:dyDescent="0.3">
      <c r="B14" s="13"/>
      <c r="C14" s="18" t="s">
        <v>84</v>
      </c>
      <c r="D14" s="19"/>
      <c r="E14" s="19" t="s">
        <v>85</v>
      </c>
      <c r="F14" s="20"/>
      <c r="G14" s="14"/>
    </row>
    <row r="15" spans="2:7" x14ac:dyDescent="0.3">
      <c r="B15" s="13"/>
      <c r="C15" s="21" t="s">
        <v>41</v>
      </c>
      <c r="D15" s="28">
        <f>VLOOKUP($D$8,Salary_Sheet!$A$4:$R$17,MATCH(C15,Salary_Sheet!$A$4:$R$4,0),FALSE)</f>
        <v>60666.666666666664</v>
      </c>
      <c r="E15" s="11" t="s">
        <v>48</v>
      </c>
      <c r="F15" s="30">
        <f>VLOOKUP($D$8,Salary_Sheet!$A$4:$R$17,MATCH(E15,Salary_Sheet!$A$4:$R$4,0),FALSE)</f>
        <v>7800</v>
      </c>
      <c r="G15" s="14"/>
    </row>
    <row r="16" spans="2:7" x14ac:dyDescent="0.3">
      <c r="B16" s="13"/>
      <c r="C16" s="21" t="s">
        <v>42</v>
      </c>
      <c r="D16" s="28">
        <f>VLOOKUP($D$8,Salary_Sheet!$A$4:$R$17,MATCH(C16,Salary_Sheet!$A$4:$R$4,0),FALSE)</f>
        <v>7800</v>
      </c>
      <c r="E16" s="11" t="s">
        <v>93</v>
      </c>
      <c r="F16" s="31" t="str">
        <f>VLOOKUP($D$8,Salary_Sheet!$A$4:$R$17,MATCH(E16,Salary_Sheet!$A$4:$R$4,0),FALSE)</f>
        <v>N/A</v>
      </c>
      <c r="G16" s="14"/>
    </row>
    <row r="17" spans="2:7" x14ac:dyDescent="0.3">
      <c r="B17" s="13"/>
      <c r="C17" s="21" t="s">
        <v>44</v>
      </c>
      <c r="D17" s="28">
        <f>VLOOKUP($D$8,Salary_Sheet!$A$4:$R$17,MATCH(C17,Salary_Sheet!$A$4:$R$4,0),FALSE)</f>
        <v>32500</v>
      </c>
      <c r="E17" s="11" t="s">
        <v>86</v>
      </c>
      <c r="F17" s="30">
        <f>IFERROR(VLOOKUP($D$8,Salary_Sheet!$A$4:$R$17,MATCH(E17,Salary_Sheet!$A$4:$R$4,0),FALSE),0)</f>
        <v>0</v>
      </c>
      <c r="G17" s="14"/>
    </row>
    <row r="18" spans="2:7" x14ac:dyDescent="0.3">
      <c r="B18" s="13"/>
      <c r="C18" s="21" t="s">
        <v>45</v>
      </c>
      <c r="D18" s="28">
        <f>VLOOKUP($D$8,Salary_Sheet!$A$4:$R$17,MATCH(C18,Salary_Sheet!$A$4:$R$4,0),FALSE)</f>
        <v>1000</v>
      </c>
      <c r="E18" s="11" t="s">
        <v>87</v>
      </c>
      <c r="F18" s="30">
        <f>IFERROR(VLOOKUP($D$8,Salary_Sheet!$A$4:$R$17,MATCH(E18,Salary_Sheet!$A$4:$R$4,0),FALSE),0)</f>
        <v>0</v>
      </c>
      <c r="G18" s="14"/>
    </row>
    <row r="19" spans="2:7" x14ac:dyDescent="0.3">
      <c r="B19" s="13"/>
      <c r="C19" s="21" t="s">
        <v>46</v>
      </c>
      <c r="D19" s="28">
        <f>VLOOKUP($D$8,Salary_Sheet!$A$4:$R$17,MATCH(C19,Salary_Sheet!$A$4:$R$4,0),FALSE)</f>
        <v>2407.4074074074074</v>
      </c>
      <c r="E19" s="11"/>
      <c r="F19" s="30"/>
      <c r="G19" s="14"/>
    </row>
    <row r="20" spans="2:7" x14ac:dyDescent="0.3">
      <c r="B20" s="13"/>
      <c r="C20" s="23" t="s">
        <v>47</v>
      </c>
      <c r="D20" s="29">
        <f>SUM(D15:D19)</f>
        <v>104374.07407407406</v>
      </c>
      <c r="E20" s="24" t="s">
        <v>88</v>
      </c>
      <c r="F20" s="32">
        <f>SUM(F15:F18)</f>
        <v>7800</v>
      </c>
      <c r="G20" s="14"/>
    </row>
    <row r="21" spans="2:7" x14ac:dyDescent="0.3">
      <c r="B21" s="13"/>
      <c r="C21" s="11"/>
      <c r="D21" s="11"/>
      <c r="E21" s="11"/>
      <c r="F21" s="11"/>
      <c r="G21" s="14"/>
    </row>
    <row r="22" spans="2:7" ht="21" x14ac:dyDescent="0.3">
      <c r="B22" s="13"/>
      <c r="C22" s="26" t="s">
        <v>49</v>
      </c>
      <c r="D22" s="27"/>
      <c r="E22" s="61">
        <f>D20-F20</f>
        <v>96574.074074074058</v>
      </c>
      <c r="F22" s="62"/>
      <c r="G22" s="14"/>
    </row>
    <row r="23" spans="2:7" x14ac:dyDescent="0.3">
      <c r="B23" s="13"/>
      <c r="C23" s="11"/>
      <c r="D23" s="11"/>
      <c r="E23" s="11"/>
      <c r="F23" s="11"/>
      <c r="G23" s="14"/>
    </row>
    <row r="24" spans="2:7" x14ac:dyDescent="0.3">
      <c r="B24" s="13"/>
      <c r="C24" s="63" t="s">
        <v>89</v>
      </c>
      <c r="D24" s="63"/>
      <c r="E24" s="63" t="s">
        <v>90</v>
      </c>
      <c r="F24" s="63"/>
      <c r="G24" s="14"/>
    </row>
    <row r="25" spans="2:7" x14ac:dyDescent="0.3">
      <c r="B25" s="13"/>
      <c r="C25" s="63"/>
      <c r="D25" s="63"/>
      <c r="E25" s="63"/>
      <c r="F25" s="63"/>
      <c r="G25" s="14"/>
    </row>
    <row r="26" spans="2:7" x14ac:dyDescent="0.3">
      <c r="B26" s="13"/>
      <c r="C26" s="58" t="s">
        <v>91</v>
      </c>
      <c r="D26" s="59"/>
      <c r="E26" s="59"/>
      <c r="F26" s="60"/>
      <c r="G26" s="14"/>
    </row>
    <row r="27" spans="2:7" ht="4.95" customHeight="1" thickBot="1" x14ac:dyDescent="0.35">
      <c r="B27" s="15"/>
      <c r="C27" s="16"/>
      <c r="D27" s="16"/>
      <c r="E27" s="16"/>
      <c r="F27" s="16"/>
      <c r="G27" s="17"/>
    </row>
  </sheetData>
  <mergeCells count="9">
    <mergeCell ref="B2:G2"/>
    <mergeCell ref="C3:F3"/>
    <mergeCell ref="C4:F4"/>
    <mergeCell ref="C5:F5"/>
    <mergeCell ref="C26:F26"/>
    <mergeCell ref="E12:F12"/>
    <mergeCell ref="E22:F22"/>
    <mergeCell ref="C24:D25"/>
    <mergeCell ref="E24:F2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AC46E4-037F-4280-9555-0890C7E1C477}">
          <x14:formula1>
            <xm:f>Salary_Sheet!$A$5:$A$17</xm:f>
          </x14:formula1>
          <xm:sqref>D8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Attendance_Sheet</vt:lpstr>
      <vt:lpstr>Salary_Sheet</vt:lpstr>
      <vt:lpstr>Salary_Slip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Shashank Masih</cp:lastModifiedBy>
  <dcterms:created xsi:type="dcterms:W3CDTF">2015-06-05T18:17:20Z</dcterms:created>
  <dcterms:modified xsi:type="dcterms:W3CDTF">2026-06-05T16:10:37Z</dcterms:modified>
</cp:coreProperties>
</file>